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悩み100(バズ順)" sheetId="1" state="visible" r:id="rId1"/>
    <sheet xmlns:r="http://schemas.openxmlformats.org/officeDocument/2006/relationships" name="カテゴリ別" sheetId="2" state="visible" r:id="rId2"/>
    <sheet xmlns:r="http://schemas.openxmlformats.org/officeDocument/2006/relationships" name="方法と出典" sheetId="3" state="visible" r:id="rId3"/>
  </sheets>
  <definedNames>
    <definedName name="_xlnm._FilterDatabase" localSheetId="0" hidden="1">'悩み100(バズ順)'!$A$1:$K$101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color rgb="FF0000FF"/>
      <sz val="10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color rgb="000000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FF2F4F4F"/>
        <bgColor rgb="FF3333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11" fillId="0" borderId="0" pivotButton="0" quotePrefix="0" xfId="0"/>
    <xf numFmtId="0" fontId="6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9" customWidth="1" style="12" min="2" max="2"/>
    <col width="18" customWidth="1" style="12" min="3" max="3"/>
    <col width="56" customWidth="1" style="12" min="4" max="4"/>
    <col width="8" customWidth="1" style="12" min="5" max="5"/>
    <col width="10" customWidth="1" style="12" min="6" max="6"/>
    <col width="12" customWidth="1" style="12" min="7" max="7"/>
    <col width="8" customWidth="1" style="12" min="8" max="8"/>
    <col width="16" customWidth="1" style="12" min="9" max="9"/>
    <col width="26" customWidth="1" style="12" min="10" max="10"/>
    <col width="12" customWidth="1" style="12" min="11" max="11"/>
    <col width="12" customWidth="1" style="13" min="12" max="12"/>
    <col width="12" customWidth="1" style="13" min="13" max="13"/>
    <col width="12" customWidth="1" style="13" min="14" max="14"/>
    <col width="12" customWidth="1" style="13" min="15" max="15"/>
    <col width="12" customWidth="1" style="13" min="16" max="16"/>
    <col width="12" customWidth="1" style="13" min="17" max="17"/>
    <col width="12" customWidth="1" style="13" min="18" max="18"/>
    <col width="12" customWidth="1" style="13" min="19" max="19"/>
  </cols>
  <sheetData>
    <row r="1" ht="30" customHeight="1" s="13">
      <c r="A1" s="14" t="inlineStr">
        <is>
          <t>順位</t>
        </is>
      </c>
      <c r="B1" s="14" t="inlineStr">
        <is>
          <t>バズ指数</t>
        </is>
      </c>
      <c r="C1" s="14" t="inlineStr">
        <is>
          <t>カテゴリ</t>
        </is>
      </c>
      <c r="D1" s="14" t="inlineStr">
        <is>
          <t>悩み</t>
        </is>
      </c>
      <c r="E1" s="14" t="inlineStr">
        <is>
          <t>出典数</t>
        </is>
      </c>
      <c r="F1" s="14" t="inlineStr">
        <is>
          <t>共感(1-5)</t>
        </is>
      </c>
      <c r="G1" s="14" t="inlineStr">
        <is>
          <t>投稿化(1-5)</t>
        </is>
      </c>
      <c r="H1" s="14" t="inlineStr">
        <is>
          <t>総合点</t>
        </is>
      </c>
      <c r="I1" s="14" t="inlineStr">
        <is>
          <t>合う商品</t>
        </is>
      </c>
      <c r="J1" s="14" t="inlineStr">
        <is>
          <t>書き出し案(体言止め)</t>
        </is>
      </c>
      <c r="K1" s="14" t="inlineStr">
        <is>
          <t>出典コード</t>
        </is>
      </c>
      <c r="L1" s="15" t="inlineStr">
        <is>
          <t>支払い意欲(1-5)</t>
        </is>
      </c>
      <c r="M1" s="15" t="inlineStr">
        <is>
          <t>実体験(○)</t>
        </is>
      </c>
      <c r="N1" s="15" t="inlineStr">
        <is>
          <t>X投稿日</t>
        </is>
      </c>
      <c r="O1" s="15" t="inlineStr">
        <is>
          <t>1時間後のインプ</t>
        </is>
      </c>
      <c r="P1" s="15" t="inlineStr">
        <is>
          <t>いいね</t>
        </is>
      </c>
      <c r="Q1" s="15" t="inlineStr">
        <is>
          <t>返信</t>
        </is>
      </c>
      <c r="R1" s="15" t="inlineStr">
        <is>
          <t>保存</t>
        </is>
      </c>
      <c r="S1" s="15" t="inlineStr">
        <is>
          <t>LINE登録</t>
        </is>
      </c>
    </row>
    <row r="2" ht="15" customHeight="1" s="13">
      <c r="A2" s="16">
        <f>RANK(H2,$H$2:$H$101,0)</f>
        <v/>
      </c>
      <c r="B2" s="16">
        <f>ROUND(H2/MAX($H$2:$H$101)*100,0)</f>
        <v/>
      </c>
      <c r="C2" s="17" t="inlineStr">
        <is>
          <t>感覚・刺激</t>
        </is>
      </c>
      <c r="D2" s="18" t="inlineStr">
        <is>
          <t>話し声・物音・キーボード音が気になって仕方ない</t>
        </is>
      </c>
      <c r="E2" s="19" t="n">
        <v>7</v>
      </c>
      <c r="F2" s="19" t="n">
        <v>5</v>
      </c>
      <c r="G2" s="19" t="n">
        <v>5</v>
      </c>
      <c r="H2" s="17">
        <f>E2*4+F2*3+G2*2</f>
        <v/>
      </c>
      <c r="I2" s="16" t="inlineStr">
        <is>
          <t>B 夜の音声</t>
        </is>
      </c>
      <c r="J2" s="18" t="inlineStr">
        <is>
          <t>「音」に疲れる</t>
        </is>
      </c>
      <c r="K2" s="16" t="inlineStr">
        <is>
          <t>ACDEFGI</t>
        </is>
      </c>
      <c r="L2" s="20" t="n"/>
      <c r="M2" s="20" t="n"/>
      <c r="N2" s="20" t="n"/>
      <c r="O2" s="20" t="n"/>
      <c r="P2" s="20" t="n"/>
      <c r="Q2" s="20" t="n"/>
      <c r="R2" s="20" t="n"/>
      <c r="S2" s="20" t="n"/>
    </row>
    <row r="3" ht="15" customHeight="1" s="13">
      <c r="A3" s="17">
        <f>RANK(H3,$H$2:$H$101,0)</f>
        <v/>
      </c>
      <c r="B3" s="17">
        <f>ROUND(H3/MAX($H$2:$H$101)*100,0)</f>
        <v/>
      </c>
      <c r="C3" s="17" t="inlineStr">
        <is>
          <t>断れない・後回し</t>
        </is>
      </c>
      <c r="D3" s="18" t="inlineStr">
        <is>
          <t>頼まれると断れない</t>
        </is>
      </c>
      <c r="E3" s="19" t="n">
        <v>6</v>
      </c>
      <c r="F3" s="19" t="n">
        <v>5</v>
      </c>
      <c r="G3" s="19" t="n">
        <v>5</v>
      </c>
      <c r="H3" s="17">
        <f>E3*4+F3*3+G3*2</f>
        <v/>
      </c>
      <c r="I3" s="16" t="inlineStr">
        <is>
          <t>A 境界線講座</t>
        </is>
      </c>
      <c r="J3" s="18" t="inlineStr">
        <is>
          <t>「断れない」優しさ</t>
        </is>
      </c>
      <c r="K3" s="16" t="inlineStr">
        <is>
          <t>ABDEFG</t>
        </is>
      </c>
      <c r="L3" s="20" t="n"/>
      <c r="M3" s="20" t="n"/>
      <c r="N3" s="20" t="n"/>
      <c r="O3" s="20" t="n"/>
      <c r="P3" s="20" t="n"/>
      <c r="Q3" s="20" t="n"/>
      <c r="R3" s="20" t="n"/>
      <c r="S3" s="20" t="n"/>
    </row>
    <row r="4" ht="15" customHeight="1" s="13">
      <c r="A4" s="17">
        <f>RANK(H4,$H$2:$H$101,0)</f>
        <v/>
      </c>
      <c r="B4" s="17">
        <f>ROUND(H4/MAX($H$2:$H$101)*100,0)</f>
        <v/>
      </c>
      <c r="C4" s="17" t="inlineStr">
        <is>
          <t>人間関係・気疲れ</t>
        </is>
      </c>
      <c r="D4" s="18" t="inlineStr">
        <is>
          <t>相手の機嫌・表情・声のトーンに気づいて、消耗する</t>
        </is>
      </c>
      <c r="E4" s="19" t="n">
        <v>5</v>
      </c>
      <c r="F4" s="19" t="n">
        <v>5</v>
      </c>
      <c r="G4" s="19" t="n">
        <v>5</v>
      </c>
      <c r="H4" s="17">
        <f>E4*4+F4*3+G4*2</f>
        <v/>
      </c>
      <c r="I4" s="16" t="inlineStr">
        <is>
          <t>A 境界線講座</t>
        </is>
      </c>
      <c r="J4" s="18" t="inlineStr">
        <is>
          <t>「機嫌」に気づく力</t>
        </is>
      </c>
      <c r="K4" s="16" t="inlineStr">
        <is>
          <t>ACEFG</t>
        </is>
      </c>
      <c r="L4" s="20" t="n"/>
      <c r="M4" s="20" t="n"/>
      <c r="N4" s="20" t="n"/>
      <c r="O4" s="20" t="n"/>
      <c r="P4" s="20" t="n"/>
      <c r="Q4" s="20" t="n"/>
      <c r="R4" s="20" t="n"/>
      <c r="S4" s="20" t="n"/>
    </row>
    <row r="5" ht="15" customHeight="1" s="13">
      <c r="A5" s="17">
        <f>RANK(H5,$H$2:$H$101,0)</f>
        <v/>
      </c>
      <c r="B5" s="17">
        <f>ROUND(H5/MAX($H$2:$H$101)*100,0)</f>
        <v/>
      </c>
      <c r="C5" s="17" t="inlineStr">
        <is>
          <t>自責・自己否定</t>
        </is>
      </c>
      <c r="D5" s="18" t="inlineStr">
        <is>
          <t>すぐに自分を責めてしまう</t>
        </is>
      </c>
      <c r="E5" s="19" t="n">
        <v>4</v>
      </c>
      <c r="F5" s="19" t="n">
        <v>5</v>
      </c>
      <c r="G5" s="19" t="n">
        <v>5</v>
      </c>
      <c r="H5" s="17">
        <f>E5*4+F5*3+G5*2</f>
        <v/>
      </c>
      <c r="I5" s="16" t="inlineStr">
        <is>
          <t>21日間</t>
        </is>
      </c>
      <c r="J5" s="18" t="inlineStr">
        <is>
          <t>「自責」の癖</t>
        </is>
      </c>
      <c r="K5" s="16" t="inlineStr">
        <is>
          <t>CDFI</t>
        </is>
      </c>
      <c r="L5" s="20" t="n"/>
      <c r="M5" s="20" t="n"/>
      <c r="N5" s="20" t="n"/>
      <c r="O5" s="20" t="n"/>
      <c r="P5" s="20" t="n"/>
      <c r="Q5" s="20" t="n"/>
      <c r="R5" s="20" t="n"/>
      <c r="S5" s="20" t="n"/>
    </row>
    <row r="6" ht="15" customHeight="1" s="13">
      <c r="A6" s="17">
        <f>RANK(H6,$H$2:$H$101,0)</f>
        <v/>
      </c>
      <c r="B6" s="17">
        <f>ROUND(H6/MAX($H$2:$H$101)*100,0)</f>
        <v/>
      </c>
      <c r="C6" s="17" t="inlineStr">
        <is>
          <t>感覚・刺激</t>
        </is>
      </c>
      <c r="D6" s="18" t="inlineStr">
        <is>
          <t>人混み・大人数の場が苦手</t>
        </is>
      </c>
      <c r="E6" s="19" t="n">
        <v>4</v>
      </c>
      <c r="F6" s="19" t="n">
        <v>5</v>
      </c>
      <c r="G6" s="19" t="n">
        <v>4</v>
      </c>
      <c r="H6" s="17">
        <f>E6*4+F6*3+G6*2</f>
        <v/>
      </c>
      <c r="I6" s="16" t="inlineStr">
        <is>
          <t>A 境界線講座</t>
        </is>
      </c>
      <c r="J6" s="18" t="inlineStr">
        <is>
          <t>「人混み」のあと</t>
        </is>
      </c>
      <c r="K6" s="16" t="inlineStr">
        <is>
          <t>DEGI</t>
        </is>
      </c>
      <c r="L6" s="20" t="n"/>
      <c r="M6" s="20" t="n"/>
      <c r="N6" s="20" t="n"/>
      <c r="O6" s="20" t="n"/>
      <c r="P6" s="20" t="n"/>
      <c r="Q6" s="20" t="n"/>
      <c r="R6" s="20" t="n"/>
      <c r="S6" s="20" t="n"/>
    </row>
    <row r="7" ht="15" customHeight="1" s="13">
      <c r="A7" s="17">
        <f>RANK(H7,$H$2:$H$101,0)</f>
        <v/>
      </c>
      <c r="B7" s="17">
        <f>ROUND(H7/MAX($H$2:$H$101)*100,0)</f>
        <v/>
      </c>
      <c r="C7" s="17" t="inlineStr">
        <is>
          <t>感覚・刺激</t>
        </is>
      </c>
      <c r="D7" s="18" t="inlineStr">
        <is>
          <t>強いにおいで気分が悪くなる</t>
        </is>
      </c>
      <c r="E7" s="19" t="n">
        <v>5</v>
      </c>
      <c r="F7" s="19" t="n">
        <v>4</v>
      </c>
      <c r="G7" s="19" t="n">
        <v>3</v>
      </c>
      <c r="H7" s="17">
        <f>E7*4+F7*3+G7*2</f>
        <v/>
      </c>
      <c r="I7" s="16" t="inlineStr">
        <is>
          <t>B 夜の音声</t>
        </is>
      </c>
      <c r="J7" s="18" t="inlineStr">
        <is>
          <t>「におい」への敏感さ</t>
        </is>
      </c>
      <c r="K7" s="16" t="inlineStr">
        <is>
          <t>DEFGI</t>
        </is>
      </c>
      <c r="L7" s="20" t="n"/>
      <c r="M7" s="20" t="n"/>
      <c r="N7" s="20" t="n"/>
      <c r="O7" s="20" t="n"/>
      <c r="P7" s="20" t="n"/>
      <c r="Q7" s="20" t="n"/>
      <c r="R7" s="20" t="n"/>
      <c r="S7" s="20" t="n"/>
    </row>
    <row r="8" ht="15" customHeight="1" s="13">
      <c r="A8" s="17">
        <f>RANK(H8,$H$2:$H$101,0)</f>
        <v/>
      </c>
      <c r="B8" s="17">
        <f>ROUND(H8/MAX($H$2:$H$101)*100,0)</f>
        <v/>
      </c>
      <c r="C8" s="17" t="inlineStr">
        <is>
          <t>人間関係・気疲れ</t>
        </is>
      </c>
      <c r="D8" s="18" t="inlineStr">
        <is>
          <t>人といると、嫌いでもないのに疲れてしまう</t>
        </is>
      </c>
      <c r="E8" s="19" t="n">
        <v>3</v>
      </c>
      <c r="F8" s="19" t="n">
        <v>5</v>
      </c>
      <c r="G8" s="19" t="n">
        <v>5</v>
      </c>
      <c r="H8" s="17">
        <f>E8*4+F8*3+G8*2</f>
        <v/>
      </c>
      <c r="I8" s="16" t="inlineStr">
        <is>
          <t>A 境界線講座</t>
        </is>
      </c>
      <c r="J8" s="18" t="inlineStr">
        <is>
          <t>「人疲れ」</t>
        </is>
      </c>
      <c r="K8" s="16" t="inlineStr">
        <is>
          <t>ACG</t>
        </is>
      </c>
      <c r="L8" s="20" t="n"/>
      <c r="M8" s="20" t="n"/>
      <c r="N8" s="20" t="n"/>
      <c r="O8" s="20" t="n"/>
      <c r="P8" s="20" t="n"/>
      <c r="Q8" s="20" t="n"/>
      <c r="R8" s="20" t="n"/>
      <c r="S8" s="20" t="n"/>
    </row>
    <row r="9" ht="15" customHeight="1" s="13">
      <c r="A9" s="17">
        <f>RANK(H9,$H$2:$H$101,0)</f>
        <v/>
      </c>
      <c r="B9" s="17">
        <f>ROUND(H9/MAX($H$2:$H$101)*100,0)</f>
        <v/>
      </c>
      <c r="C9" s="17" t="inlineStr">
        <is>
          <t>考えすぎ・反省会</t>
        </is>
      </c>
      <c r="D9" s="18" t="inlineStr">
        <is>
          <t>考えすぎて、決められない</t>
        </is>
      </c>
      <c r="E9" s="19" t="n">
        <v>4</v>
      </c>
      <c r="F9" s="19" t="n">
        <v>4</v>
      </c>
      <c r="G9" s="19" t="n">
        <v>4</v>
      </c>
      <c r="H9" s="17">
        <f>E9*4+F9*3+G9*2</f>
        <v/>
      </c>
      <c r="I9" s="16" t="inlineStr">
        <is>
          <t>21日間</t>
        </is>
      </c>
      <c r="J9" s="18" t="inlineStr">
        <is>
          <t>「決められない」</t>
        </is>
      </c>
      <c r="K9" s="16" t="inlineStr">
        <is>
          <t>BDEG</t>
        </is>
      </c>
      <c r="L9" s="20" t="n"/>
      <c r="M9" s="20" t="n"/>
      <c r="N9" s="20" t="n"/>
      <c r="O9" s="20" t="n"/>
      <c r="P9" s="20" t="n"/>
      <c r="Q9" s="20" t="n"/>
      <c r="R9" s="20" t="n"/>
      <c r="S9" s="20" t="n"/>
    </row>
    <row r="10" ht="15" customHeight="1" s="13">
      <c r="A10" s="17">
        <f>RANK(H10,$H$2:$H$101,0)</f>
        <v/>
      </c>
      <c r="B10" s="17">
        <f>ROUND(H10/MAX($H$2:$H$101)*100,0)</f>
        <v/>
      </c>
      <c r="C10" s="17" t="inlineStr">
        <is>
          <t>人間関係・気疲れ</t>
        </is>
      </c>
      <c r="D10" s="18" t="inlineStr">
        <is>
          <t>相手の状況を考えて、自分の意見を言いづらい</t>
        </is>
      </c>
      <c r="E10" s="19" t="n">
        <v>3</v>
      </c>
      <c r="F10" s="19" t="n">
        <v>5</v>
      </c>
      <c r="G10" s="19" t="n">
        <v>4</v>
      </c>
      <c r="H10" s="17">
        <f>E10*4+F10*3+G10*2</f>
        <v/>
      </c>
      <c r="I10" s="16" t="inlineStr">
        <is>
          <t>A 境界線講座</t>
        </is>
      </c>
      <c r="J10" s="18" t="inlineStr">
        <is>
          <t>「言いづらさ」</t>
        </is>
      </c>
      <c r="K10" s="16" t="inlineStr">
        <is>
          <t>CFG</t>
        </is>
      </c>
      <c r="L10" s="20" t="n"/>
      <c r="M10" s="20" t="n"/>
      <c r="N10" s="20" t="n"/>
      <c r="O10" s="20" t="n"/>
      <c r="P10" s="20" t="n"/>
      <c r="Q10" s="20" t="n"/>
      <c r="R10" s="20" t="n"/>
      <c r="S10" s="20" t="n"/>
    </row>
    <row r="11" ht="15" customHeight="1" s="13">
      <c r="A11" s="17">
        <f>RANK(H11,$H$2:$H$101,0)</f>
        <v/>
      </c>
      <c r="B11" s="17">
        <f>ROUND(H11/MAX($H$2:$H$101)*100,0)</f>
        <v/>
      </c>
      <c r="C11" s="17" t="inlineStr">
        <is>
          <t>感覚・刺激</t>
        </is>
      </c>
      <c r="D11" s="18" t="inlineStr">
        <is>
          <t>まぶしい光がつらい</t>
        </is>
      </c>
      <c r="E11" s="19" t="n">
        <v>5</v>
      </c>
      <c r="F11" s="19" t="n">
        <v>3</v>
      </c>
      <c r="G11" s="19" t="n">
        <v>3</v>
      </c>
      <c r="H11" s="17">
        <f>E11*4+F11*3+G11*2</f>
        <v/>
      </c>
      <c r="I11" s="16" t="inlineStr">
        <is>
          <t>B 夜の音声</t>
        </is>
      </c>
      <c r="J11" s="18" t="inlineStr">
        <is>
          <t>「光」の疲れ</t>
        </is>
      </c>
      <c r="K11" s="16" t="inlineStr">
        <is>
          <t>CDEGI</t>
        </is>
      </c>
      <c r="L11" s="20" t="n"/>
      <c r="M11" s="20" t="n"/>
      <c r="N11" s="20" t="n"/>
      <c r="O11" s="20" t="n"/>
      <c r="P11" s="20" t="n"/>
      <c r="Q11" s="20" t="n"/>
      <c r="R11" s="20" t="n"/>
      <c r="S11" s="20" t="n"/>
    </row>
    <row r="12" ht="15" customHeight="1" s="13">
      <c r="A12" s="17">
        <f>RANK(H12,$H$2:$H$101,0)</f>
        <v/>
      </c>
      <c r="B12" s="17">
        <f>ROUND(H12/MAX($H$2:$H$101)*100,0)</f>
        <v/>
      </c>
      <c r="C12" s="17" t="inlineStr">
        <is>
          <t>人間関係・気疲れ</t>
        </is>
      </c>
      <c r="D12" s="18" t="inlineStr">
        <is>
          <t>誰かが叱られている場面を見るだけでつらい</t>
        </is>
      </c>
      <c r="E12" s="19" t="n">
        <v>2</v>
      </c>
      <c r="F12" s="19" t="n">
        <v>5</v>
      </c>
      <c r="G12" s="19" t="n">
        <v>5</v>
      </c>
      <c r="H12" s="17">
        <f>E12*4+F12*3+G12*2</f>
        <v/>
      </c>
      <c r="I12" s="16" t="inlineStr">
        <is>
          <t>A 境界線講座</t>
        </is>
      </c>
      <c r="J12" s="18" t="inlineStr">
        <is>
          <t>「叱られている」場面</t>
        </is>
      </c>
      <c r="K12" s="16" t="inlineStr">
        <is>
          <t>DE</t>
        </is>
      </c>
      <c r="L12" s="20" t="n"/>
      <c r="M12" s="20" t="n"/>
      <c r="N12" s="20" t="n"/>
      <c r="O12" s="20" t="n"/>
      <c r="P12" s="20" t="n"/>
      <c r="Q12" s="20" t="n"/>
      <c r="R12" s="20" t="n"/>
      <c r="S12" s="20" t="n"/>
    </row>
    <row r="13" ht="15" customHeight="1" s="13">
      <c r="A13" s="17">
        <f>RANK(H13,$H$2:$H$101,0)</f>
        <v/>
      </c>
      <c r="B13" s="17">
        <f>ROUND(H13/MAX($H$2:$H$101)*100,0)</f>
        <v/>
      </c>
      <c r="C13" s="17" t="inlineStr">
        <is>
          <t>人間関係・気疲れ</t>
        </is>
      </c>
      <c r="D13" s="21" t="inlineStr">
        <is>
          <t>LINEやメールを深読みして、不安になる</t>
        </is>
      </c>
      <c r="E13" s="19" t="n">
        <v>2</v>
      </c>
      <c r="F13" s="19" t="n">
        <v>5</v>
      </c>
      <c r="G13" s="19" t="n">
        <v>5</v>
      </c>
      <c r="H13" s="17">
        <f>E13*4+F13*3+G13*2</f>
        <v/>
      </c>
      <c r="I13" s="16" t="inlineStr">
        <is>
          <t>21日間</t>
        </is>
      </c>
      <c r="J13" s="18" t="inlineStr">
        <is>
          <t>「既読」のあとの不安</t>
        </is>
      </c>
      <c r="K13" s="16" t="inlineStr">
        <is>
          <t>GI</t>
        </is>
      </c>
      <c r="L13" s="20" t="n"/>
      <c r="M13" s="20" t="n"/>
      <c r="N13" s="20" t="n"/>
      <c r="O13" s="20" t="n"/>
      <c r="P13" s="20" t="n"/>
      <c r="Q13" s="20" t="n"/>
      <c r="R13" s="20" t="n"/>
      <c r="S13" s="20" t="n"/>
    </row>
    <row r="14" ht="15" customHeight="1" s="13">
      <c r="A14" s="17">
        <f>RANK(H14,$H$2:$H$101,0)</f>
        <v/>
      </c>
      <c r="B14" s="17">
        <f>ROUND(H14/MAX($H$2:$H$101)*100,0)</f>
        <v/>
      </c>
      <c r="C14" s="17" t="inlineStr">
        <is>
          <t>人間関係・気疲れ</t>
        </is>
      </c>
      <c r="D14" s="18" t="inlineStr">
        <is>
          <t>イベントや集まりの後に、どっと疲れる</t>
        </is>
      </c>
      <c r="E14" s="19" t="n">
        <v>2</v>
      </c>
      <c r="F14" s="19" t="n">
        <v>5</v>
      </c>
      <c r="G14" s="19" t="n">
        <v>5</v>
      </c>
      <c r="H14" s="17">
        <f>E14*4+F14*3+G14*2</f>
        <v/>
      </c>
      <c r="I14" s="16" t="inlineStr">
        <is>
          <t>B 夜の音声</t>
        </is>
      </c>
      <c r="J14" s="18" t="inlineStr">
        <is>
          <t>「集まり」のあと</t>
        </is>
      </c>
      <c r="K14" s="16" t="inlineStr">
        <is>
          <t>DG</t>
        </is>
      </c>
      <c r="L14" s="20" t="n"/>
      <c r="M14" s="20" t="n"/>
      <c r="N14" s="20" t="n"/>
      <c r="O14" s="20" t="n"/>
      <c r="P14" s="20" t="n"/>
      <c r="Q14" s="20" t="n"/>
      <c r="R14" s="20" t="n"/>
      <c r="S14" s="20" t="n"/>
    </row>
    <row r="15" ht="15" customHeight="1" s="13">
      <c r="A15" s="17">
        <f>RANK(H15,$H$2:$H$101,0)</f>
        <v/>
      </c>
      <c r="B15" s="17">
        <f>ROUND(H15/MAX($H$2:$H$101)*100,0)</f>
        <v/>
      </c>
      <c r="C15" s="17" t="inlineStr">
        <is>
          <t>人間関係・気疲れ</t>
        </is>
      </c>
      <c r="D15" s="18" t="inlineStr">
        <is>
          <t>「敏感すぎ」「神経質」と思われる</t>
        </is>
      </c>
      <c r="E15" s="19" t="n">
        <v>2</v>
      </c>
      <c r="F15" s="19" t="n">
        <v>5</v>
      </c>
      <c r="G15" s="19" t="n">
        <v>5</v>
      </c>
      <c r="H15" s="17">
        <f>E15*4+F15*3+G15*2</f>
        <v/>
      </c>
      <c r="I15" s="16" t="inlineStr">
        <is>
          <t>C 対話の会</t>
        </is>
      </c>
      <c r="J15" s="18" t="inlineStr">
        <is>
          <t>「敏感すぎ」の一言</t>
        </is>
      </c>
      <c r="K15" s="16" t="inlineStr">
        <is>
          <t>AI</t>
        </is>
      </c>
      <c r="L15" s="20" t="n"/>
      <c r="M15" s="20" t="n"/>
      <c r="N15" s="20" t="n"/>
      <c r="O15" s="20" t="n"/>
      <c r="P15" s="20" t="n"/>
      <c r="Q15" s="20" t="n"/>
      <c r="R15" s="20" t="n"/>
      <c r="S15" s="20" t="n"/>
    </row>
    <row r="16" ht="15" customHeight="1" s="13">
      <c r="A16" s="17">
        <f>RANK(H16,$H$2:$H$101,0)</f>
        <v/>
      </c>
      <c r="B16" s="17">
        <f>ROUND(H16/MAX($H$2:$H$101)*100,0)</f>
        <v/>
      </c>
      <c r="C16" s="17" t="inlineStr">
        <is>
          <t>人間関係・気疲れ</t>
        </is>
      </c>
      <c r="D16" s="18" t="inlineStr">
        <is>
          <t>「気にしすぎ」と言われて、さらに気にしてしまう</t>
        </is>
      </c>
      <c r="E16" s="19" t="n">
        <v>2</v>
      </c>
      <c r="F16" s="19" t="n">
        <v>5</v>
      </c>
      <c r="G16" s="19" t="n">
        <v>5</v>
      </c>
      <c r="H16" s="17">
        <f>E16*4+F16*3+G16*2</f>
        <v/>
      </c>
      <c r="I16" s="16" t="inlineStr">
        <is>
          <t>C 対話の会</t>
        </is>
      </c>
      <c r="J16" s="18" t="inlineStr">
        <is>
          <t>「気にしすぎ」の一言</t>
        </is>
      </c>
      <c r="K16" s="16" t="inlineStr">
        <is>
          <t>CI</t>
        </is>
      </c>
      <c r="L16" s="20" t="n"/>
      <c r="M16" s="20" t="n"/>
      <c r="N16" s="20" t="n"/>
      <c r="O16" s="20" t="n"/>
      <c r="P16" s="20" t="n"/>
      <c r="Q16" s="20" t="n"/>
      <c r="R16" s="20" t="n"/>
      <c r="S16" s="20" t="n"/>
    </row>
    <row r="17" ht="15" customHeight="1" s="13">
      <c r="A17" s="17">
        <f>RANK(H17,$H$2:$H$101,0)</f>
        <v/>
      </c>
      <c r="B17" s="17">
        <f>ROUND(H17/MAX($H$2:$H$101)*100,0)</f>
        <v/>
      </c>
      <c r="C17" s="17" t="inlineStr">
        <is>
          <t>断れない・後回し</t>
        </is>
      </c>
      <c r="D17" s="18" t="inlineStr">
        <is>
          <t>自分のことが、いつも後回しになる</t>
        </is>
      </c>
      <c r="E17" s="19" t="n">
        <v>2</v>
      </c>
      <c r="F17" s="19" t="n">
        <v>5</v>
      </c>
      <c r="G17" s="19" t="n">
        <v>5</v>
      </c>
      <c r="H17" s="17">
        <f>E17*4+F17*3+G17*2</f>
        <v/>
      </c>
      <c r="I17" s="16" t="inlineStr">
        <is>
          <t>A 境界線講座</t>
        </is>
      </c>
      <c r="J17" s="18" t="inlineStr">
        <is>
          <t>「後回し」の自分</t>
        </is>
      </c>
      <c r="K17" s="16" t="inlineStr">
        <is>
          <t>CD</t>
        </is>
      </c>
      <c r="L17" s="20" t="n"/>
      <c r="M17" s="20" t="n"/>
      <c r="N17" s="20" t="n"/>
      <c r="O17" s="20" t="n"/>
      <c r="P17" s="20" t="n"/>
      <c r="Q17" s="20" t="n"/>
      <c r="R17" s="20" t="n"/>
      <c r="S17" s="20" t="n"/>
    </row>
    <row r="18" ht="15" customHeight="1" s="13">
      <c r="A18" s="17">
        <f>RANK(H18,$H$2:$H$101,0)</f>
        <v/>
      </c>
      <c r="B18" s="17">
        <f>ROUND(H18/MAX($H$2:$H$101)*100,0)</f>
        <v/>
      </c>
      <c r="C18" s="17" t="inlineStr">
        <is>
          <t>自責・自己否定</t>
        </is>
      </c>
      <c r="D18" s="18" t="inlineStr">
        <is>
          <t>何気ない一言に深く傷つく</t>
        </is>
      </c>
      <c r="E18" s="19" t="n">
        <v>2</v>
      </c>
      <c r="F18" s="19" t="n">
        <v>5</v>
      </c>
      <c r="G18" s="19" t="n">
        <v>5</v>
      </c>
      <c r="H18" s="17">
        <f>E18*4+F18*3+G18*2</f>
        <v/>
      </c>
      <c r="I18" s="16" t="inlineStr">
        <is>
          <t>21日間</t>
        </is>
      </c>
      <c r="J18" s="18" t="inlineStr">
        <is>
          <t>「何気ない一言」</t>
        </is>
      </c>
      <c r="K18" s="16" t="inlineStr">
        <is>
          <t>EG</t>
        </is>
      </c>
      <c r="L18" s="20" t="n"/>
      <c r="M18" s="20" t="n"/>
      <c r="N18" s="20" t="n"/>
      <c r="O18" s="20" t="n"/>
      <c r="P18" s="20" t="n"/>
      <c r="Q18" s="20" t="n"/>
      <c r="R18" s="20" t="n"/>
      <c r="S18" s="20" t="n"/>
    </row>
    <row r="19" ht="15" customHeight="1" s="13">
      <c r="A19" s="17">
        <f>RANK(H19,$H$2:$H$101,0)</f>
        <v/>
      </c>
      <c r="B19" s="17">
        <f>ROUND(H19/MAX($H$2:$H$101)*100,0)</f>
        <v/>
      </c>
      <c r="C19" s="17" t="inlineStr">
        <is>
          <t>考えすぎ・反省会</t>
        </is>
      </c>
      <c r="D19" s="18" t="inlineStr">
        <is>
          <t>頭の中で反省会を繰り返す</t>
        </is>
      </c>
      <c r="E19" s="19" t="n">
        <v>2</v>
      </c>
      <c r="F19" s="19" t="n">
        <v>5</v>
      </c>
      <c r="G19" s="19" t="n">
        <v>5</v>
      </c>
      <c r="H19" s="17">
        <f>E19*4+F19*3+G19*2</f>
        <v/>
      </c>
      <c r="I19" s="16" t="inlineStr">
        <is>
          <t>B 夜の音声</t>
        </is>
      </c>
      <c r="J19" s="18" t="inlineStr">
        <is>
          <t>「反省会」</t>
        </is>
      </c>
      <c r="K19" s="16" t="inlineStr">
        <is>
          <t>DI</t>
        </is>
      </c>
      <c r="L19" s="20" t="n"/>
      <c r="M19" s="20" t="n"/>
      <c r="N19" s="20" t="n"/>
      <c r="O19" s="20" t="n"/>
      <c r="P19" s="20" t="n"/>
      <c r="Q19" s="20" t="n"/>
      <c r="R19" s="20" t="n"/>
      <c r="S19" s="20" t="n"/>
    </row>
    <row r="20" ht="15" customHeight="1" s="13">
      <c r="A20" s="17">
        <f>RANK(H20,$H$2:$H$101,0)</f>
        <v/>
      </c>
      <c r="B20" s="17">
        <f>ROUND(H20/MAX($H$2:$H$101)*100,0)</f>
        <v/>
      </c>
      <c r="C20" s="17" t="inlineStr">
        <is>
          <t>回復・休日・体調</t>
        </is>
      </c>
      <c r="D20" s="18" t="inlineStr">
        <is>
          <t>ひとりの時間がないと限界がくる</t>
        </is>
      </c>
      <c r="E20" s="19" t="n">
        <v>2</v>
      </c>
      <c r="F20" s="19" t="n">
        <v>5</v>
      </c>
      <c r="G20" s="19" t="n">
        <v>5</v>
      </c>
      <c r="H20" s="17">
        <f>E20*4+F20*3+G20*2</f>
        <v/>
      </c>
      <c r="I20" s="16" t="inlineStr">
        <is>
          <t>A 境界線講座</t>
        </is>
      </c>
      <c r="J20" s="18" t="inlineStr">
        <is>
          <t>「ひとりの時間」</t>
        </is>
      </c>
      <c r="K20" s="16" t="inlineStr">
        <is>
          <t>DE</t>
        </is>
      </c>
      <c r="L20" s="20" t="n"/>
      <c r="M20" s="20" t="n"/>
      <c r="N20" s="20" t="n"/>
      <c r="O20" s="20" t="n"/>
      <c r="P20" s="20" t="n"/>
      <c r="Q20" s="20" t="n"/>
      <c r="R20" s="20" t="n"/>
      <c r="S20" s="20" t="n"/>
    </row>
    <row r="21" ht="15" customHeight="1" s="13">
      <c r="A21" s="17">
        <f>RANK(H21,$H$2:$H$101,0)</f>
        <v/>
      </c>
      <c r="B21" s="17">
        <f>ROUND(H21/MAX($H$2:$H$101)*100,0)</f>
        <v/>
      </c>
      <c r="C21" s="17" t="inlineStr">
        <is>
          <t>回復・休日・体調</t>
        </is>
      </c>
      <c r="D21" s="18" t="inlineStr">
        <is>
          <t>休日は疲れ果てて、何もできず寝ていたくなる</t>
        </is>
      </c>
      <c r="E21" s="19" t="n">
        <v>2</v>
      </c>
      <c r="F21" s="19" t="n">
        <v>5</v>
      </c>
      <c r="G21" s="19" t="n">
        <v>5</v>
      </c>
      <c r="H21" s="17">
        <f>E21*4+F21*3+G21*2</f>
        <v/>
      </c>
      <c r="I21" s="16" t="inlineStr">
        <is>
          <t>B 夜の音声</t>
        </is>
      </c>
      <c r="J21" s="18" t="inlineStr">
        <is>
          <t>「休日」の寝込み</t>
        </is>
      </c>
      <c r="K21" s="16" t="inlineStr">
        <is>
          <t>DE</t>
        </is>
      </c>
      <c r="L21" s="20" t="n"/>
      <c r="M21" s="20" t="n"/>
      <c r="N21" s="20" t="n"/>
      <c r="O21" s="20" t="n"/>
      <c r="P21" s="20" t="n"/>
      <c r="Q21" s="20" t="n"/>
      <c r="R21" s="20" t="n"/>
      <c r="S21" s="20" t="n"/>
    </row>
    <row r="22" ht="15" customHeight="1" s="13">
      <c r="A22" s="17">
        <f>RANK(H22,$H$2:$H$101,0)</f>
        <v/>
      </c>
      <c r="B22" s="17">
        <f>ROUND(H22/MAX($H$2:$H$101)*100,0)</f>
        <v/>
      </c>
      <c r="C22" s="17" t="inlineStr">
        <is>
          <t>感情・SNS・恋愛</t>
        </is>
      </c>
      <c r="D22" s="18" t="inlineStr">
        <is>
          <t>悲しいニュースを自分事のように感じて落ち込む</t>
        </is>
      </c>
      <c r="E22" s="19" t="n">
        <v>2</v>
      </c>
      <c r="F22" s="19" t="n">
        <v>5</v>
      </c>
      <c r="G22" s="19" t="n">
        <v>5</v>
      </c>
      <c r="H22" s="17">
        <f>E22*4+F22*3+G22*2</f>
        <v/>
      </c>
      <c r="I22" s="16" t="inlineStr">
        <is>
          <t>B 夜の音声</t>
        </is>
      </c>
      <c r="J22" s="18" t="inlineStr">
        <is>
          <t>「ニュース」の重さ</t>
        </is>
      </c>
      <c r="K22" s="16" t="inlineStr">
        <is>
          <t>CE</t>
        </is>
      </c>
      <c r="L22" s="20" t="n"/>
      <c r="M22" s="20" t="n"/>
      <c r="N22" s="20" t="n"/>
      <c r="O22" s="20" t="n"/>
      <c r="P22" s="20" t="n"/>
      <c r="Q22" s="20" t="n"/>
      <c r="R22" s="20" t="n"/>
      <c r="S22" s="20" t="n"/>
    </row>
    <row r="23" ht="15" customHeight="1" s="13">
      <c r="A23" s="17">
        <f>RANK(H23,$H$2:$H$101,0)</f>
        <v/>
      </c>
      <c r="B23" s="17">
        <f>ROUND(H23/MAX($H$2:$H$101)*100,0)</f>
        <v/>
      </c>
      <c r="C23" s="17" t="inlineStr">
        <is>
          <t>感覚・刺激</t>
        </is>
      </c>
      <c r="D23" s="18" t="inlineStr">
        <is>
          <t>急な音や出来事に、すぐびっくりする</t>
        </is>
      </c>
      <c r="E23" s="19" t="n">
        <v>3</v>
      </c>
      <c r="F23" s="19" t="n">
        <v>4</v>
      </c>
      <c r="G23" s="19" t="n">
        <v>4</v>
      </c>
      <c r="H23" s="17">
        <f>E23*4+F23*3+G23*2</f>
        <v/>
      </c>
      <c r="I23" s="16" t="inlineStr">
        <is>
          <t>B 夜の音声</t>
        </is>
      </c>
      <c r="J23" s="18" t="inlineStr">
        <is>
          <t>「びっくり」しやすい体</t>
        </is>
      </c>
      <c r="K23" s="16" t="inlineStr">
        <is>
          <t>ADI</t>
        </is>
      </c>
      <c r="L23" s="20" t="n"/>
      <c r="M23" s="20" t="n"/>
      <c r="N23" s="20" t="n"/>
      <c r="O23" s="20" t="n"/>
      <c r="P23" s="20" t="n"/>
      <c r="Q23" s="20" t="n"/>
      <c r="R23" s="20" t="n"/>
      <c r="S23" s="20" t="n"/>
    </row>
    <row r="24" ht="15" customHeight="1" s="13">
      <c r="A24" s="17">
        <f>RANK(H24,$H$2:$H$101,0)</f>
        <v/>
      </c>
      <c r="B24" s="17">
        <f>ROUND(H24/MAX($H$2:$H$101)*100,0)</f>
        <v/>
      </c>
      <c r="C24" s="17" t="inlineStr">
        <is>
          <t>人間関係・気疲れ</t>
        </is>
      </c>
      <c r="D24" s="18" t="inlineStr">
        <is>
          <t>場の空気を読みすぎて、先回りしてフォローしてしまう</t>
        </is>
      </c>
      <c r="E24" s="19" t="n">
        <v>3</v>
      </c>
      <c r="F24" s="19" t="n">
        <v>4</v>
      </c>
      <c r="G24" s="19" t="n">
        <v>4</v>
      </c>
      <c r="H24" s="17">
        <f>E24*4+F24*3+G24*2</f>
        <v/>
      </c>
      <c r="I24" s="16" t="inlineStr">
        <is>
          <t>A 境界線講座</t>
        </is>
      </c>
      <c r="J24" s="18" t="inlineStr">
        <is>
          <t>「先回り」の癖</t>
        </is>
      </c>
      <c r="K24" s="16" t="inlineStr">
        <is>
          <t>CEG</t>
        </is>
      </c>
      <c r="L24" s="20" t="n"/>
      <c r="M24" s="20" t="n"/>
      <c r="N24" s="20" t="n"/>
      <c r="O24" s="20" t="n"/>
      <c r="P24" s="20" t="n"/>
      <c r="Q24" s="20" t="n"/>
      <c r="R24" s="20" t="n"/>
      <c r="S24" s="20" t="n"/>
    </row>
    <row r="25" ht="15" customHeight="1" s="13">
      <c r="A25" s="17">
        <f>RANK(H25,$H$2:$H$101,0)</f>
        <v/>
      </c>
      <c r="B25" s="17">
        <f>ROUND(H25/MAX($H$2:$H$101)*100,0)</f>
        <v/>
      </c>
      <c r="C25" s="17" t="inlineStr">
        <is>
          <t>人間関係・気疲れ</t>
        </is>
      </c>
      <c r="D25" s="18" t="inlineStr">
        <is>
          <t>友人の愚痴を聞いて、自分まで気持ちが乱れる</t>
        </is>
      </c>
      <c r="E25" s="19" t="n">
        <v>3</v>
      </c>
      <c r="F25" s="19" t="n">
        <v>4</v>
      </c>
      <c r="G25" s="19" t="n">
        <v>4</v>
      </c>
      <c r="H25" s="17">
        <f>E25*4+F25*3+G25*2</f>
        <v/>
      </c>
      <c r="I25" s="16" t="inlineStr">
        <is>
          <t>A 境界線講座</t>
        </is>
      </c>
      <c r="J25" s="18" t="inlineStr">
        <is>
          <t>「愚痴」を聞いたあと</t>
        </is>
      </c>
      <c r="K25" s="16" t="inlineStr">
        <is>
          <t>CDF</t>
        </is>
      </c>
      <c r="L25" s="20" t="n"/>
      <c r="M25" s="20" t="n"/>
      <c r="N25" s="20" t="n"/>
      <c r="O25" s="20" t="n"/>
      <c r="P25" s="20" t="n"/>
      <c r="Q25" s="20" t="n"/>
      <c r="R25" s="20" t="n"/>
      <c r="S25" s="20" t="n"/>
    </row>
    <row r="26" ht="15" customHeight="1" s="13">
      <c r="A26" s="17">
        <f>RANK(H26,$H$2:$H$101,0)</f>
        <v/>
      </c>
      <c r="B26" s="17">
        <f>ROUND(H26/MAX($H$2:$H$101)*100,0)</f>
        <v/>
      </c>
      <c r="C26" s="17" t="inlineStr">
        <is>
          <t>自責・自己否定</t>
        </is>
      </c>
      <c r="D26" s="18" t="inlineStr">
        <is>
          <t>欠点を指摘されると、長く落ち込む</t>
        </is>
      </c>
      <c r="E26" s="19" t="n">
        <v>3</v>
      </c>
      <c r="F26" s="19" t="n">
        <v>4</v>
      </c>
      <c r="G26" s="19" t="n">
        <v>4</v>
      </c>
      <c r="H26" s="17">
        <f>E26*4+F26*3+G26*2</f>
        <v/>
      </c>
      <c r="I26" s="16" t="inlineStr">
        <is>
          <t>21日間</t>
        </is>
      </c>
      <c r="J26" s="18" t="inlineStr">
        <is>
          <t>「指摘」のあと</t>
        </is>
      </c>
      <c r="K26" s="16" t="inlineStr">
        <is>
          <t>EGI</t>
        </is>
      </c>
      <c r="L26" s="20" t="n"/>
      <c r="M26" s="20" t="n"/>
      <c r="N26" s="20" t="n"/>
      <c r="O26" s="20" t="n"/>
      <c r="P26" s="20" t="n"/>
      <c r="Q26" s="20" t="n"/>
      <c r="R26" s="20" t="n"/>
      <c r="S26" s="20" t="n"/>
    </row>
    <row r="27" ht="15" customHeight="1" s="13">
      <c r="A27" s="17">
        <f>RANK(H27,$H$2:$H$101,0)</f>
        <v/>
      </c>
      <c r="B27" s="17">
        <f>ROUND(H27/MAX($H$2:$H$101)*100,0)</f>
        <v/>
      </c>
      <c r="C27" s="17" t="inlineStr">
        <is>
          <t>人間関係・気疲れ</t>
        </is>
      </c>
      <c r="D27" s="18" t="inlineStr">
        <is>
          <t>他人との心の境界線があいまいで、自分を抑えて相手を優先する</t>
        </is>
      </c>
      <c r="E27" s="19" t="n">
        <v>2</v>
      </c>
      <c r="F27" s="19" t="n">
        <v>5</v>
      </c>
      <c r="G27" s="19" t="n">
        <v>4</v>
      </c>
      <c r="H27" s="17">
        <f>E27*4+F27*3+G27*2</f>
        <v/>
      </c>
      <c r="I27" s="16" t="inlineStr">
        <is>
          <t>A 境界線講座</t>
        </is>
      </c>
      <c r="J27" s="18" t="inlineStr">
        <is>
          <t>「境界線」</t>
        </is>
      </c>
      <c r="K27" s="16" t="inlineStr">
        <is>
          <t>CF</t>
        </is>
      </c>
      <c r="L27" s="20" t="n"/>
      <c r="M27" s="20" t="n"/>
      <c r="N27" s="20" t="n"/>
      <c r="O27" s="20" t="n"/>
      <c r="P27" s="20" t="n"/>
      <c r="Q27" s="20" t="n"/>
      <c r="R27" s="20" t="n"/>
      <c r="S27" s="20" t="n"/>
    </row>
    <row r="28" ht="15" customHeight="1" s="13">
      <c r="A28" s="17">
        <f>RANK(H28,$H$2:$H$101,0)</f>
        <v/>
      </c>
      <c r="B28" s="17">
        <f>ROUND(H28/MAX($H$2:$H$101)*100,0)</f>
        <v/>
      </c>
      <c r="C28" s="17" t="inlineStr">
        <is>
          <t>人間関係・気疲れ</t>
        </is>
      </c>
      <c r="D28" s="18" t="inlineStr">
        <is>
          <t>嫌われたくなくて、無理をしてしまう</t>
        </is>
      </c>
      <c r="E28" s="19" t="n">
        <v>2</v>
      </c>
      <c r="F28" s="19" t="n">
        <v>5</v>
      </c>
      <c r="G28" s="19" t="n">
        <v>4</v>
      </c>
      <c r="H28" s="17">
        <f>E28*4+F28*3+G28*2</f>
        <v/>
      </c>
      <c r="I28" s="16" t="inlineStr">
        <is>
          <t>A 境界線講座</t>
        </is>
      </c>
      <c r="J28" s="18" t="inlineStr">
        <is>
          <t>「嫌われたくない」気持ち</t>
        </is>
      </c>
      <c r="K28" s="16" t="inlineStr">
        <is>
          <t>EG</t>
        </is>
      </c>
      <c r="L28" s="20" t="n"/>
      <c r="M28" s="20" t="n"/>
      <c r="N28" s="20" t="n"/>
      <c r="O28" s="20" t="n"/>
      <c r="P28" s="20" t="n"/>
      <c r="Q28" s="20" t="n"/>
      <c r="R28" s="20" t="n"/>
      <c r="S28" s="20" t="n"/>
    </row>
    <row r="29" ht="15" customHeight="1" s="13">
      <c r="A29" s="17">
        <f>RANK(H29,$H$2:$H$101,0)</f>
        <v/>
      </c>
      <c r="B29" s="17">
        <f>ROUND(H29/MAX($H$2:$H$101)*100,0)</f>
        <v/>
      </c>
      <c r="C29" s="17" t="inlineStr">
        <is>
          <t>考えすぎ・反省会</t>
        </is>
      </c>
      <c r="D29" s="18" t="inlineStr">
        <is>
          <t>嫌な妄想・悪い想像が止まらない</t>
        </is>
      </c>
      <c r="E29" s="19" t="n">
        <v>2</v>
      </c>
      <c r="F29" s="19" t="n">
        <v>5</v>
      </c>
      <c r="G29" s="19" t="n">
        <v>4</v>
      </c>
      <c r="H29" s="17">
        <f>E29*4+F29*3+G29*2</f>
        <v/>
      </c>
      <c r="I29" s="16" t="inlineStr">
        <is>
          <t>B 夜の音声</t>
        </is>
      </c>
      <c r="J29" s="18" t="inlineStr">
        <is>
          <t>「悪い想像」</t>
        </is>
      </c>
      <c r="K29" s="16" t="inlineStr">
        <is>
          <t>BD</t>
        </is>
      </c>
      <c r="L29" s="20" t="n"/>
      <c r="M29" s="20" t="n"/>
      <c r="N29" s="20" t="n"/>
      <c r="O29" s="20" t="n"/>
      <c r="P29" s="20" t="n"/>
      <c r="Q29" s="20" t="n"/>
      <c r="R29" s="20" t="n"/>
      <c r="S29" s="20" t="n"/>
    </row>
    <row r="30" ht="15" customHeight="1" s="13">
      <c r="A30" s="17">
        <f>RANK(H30,$H$2:$H$101,0)</f>
        <v/>
      </c>
      <c r="B30" s="17">
        <f>ROUND(H30/MAX($H$2:$H$101)*100,0)</f>
        <v/>
      </c>
      <c r="C30" s="17" t="inlineStr">
        <is>
          <t>自責・自己否定</t>
        </is>
      </c>
      <c r="D30" s="18" t="inlineStr">
        <is>
          <t>自己肯定感が低い</t>
        </is>
      </c>
      <c r="E30" s="19" t="n">
        <v>3</v>
      </c>
      <c r="F30" s="19" t="n">
        <v>4</v>
      </c>
      <c r="G30" s="19" t="n">
        <v>3</v>
      </c>
      <c r="H30" s="17">
        <f>E30*4+F30*3+G30*2</f>
        <v/>
      </c>
      <c r="I30" s="16" t="inlineStr">
        <is>
          <t>21日間</t>
        </is>
      </c>
      <c r="J30" s="18" t="inlineStr">
        <is>
          <t>「自己肯定感」</t>
        </is>
      </c>
      <c r="K30" s="16" t="inlineStr">
        <is>
          <t>EFG</t>
        </is>
      </c>
      <c r="L30" s="20" t="n"/>
      <c r="M30" s="20" t="n"/>
      <c r="N30" s="20" t="n"/>
      <c r="O30" s="20" t="n"/>
      <c r="P30" s="20" t="n"/>
      <c r="Q30" s="20" t="n"/>
      <c r="R30" s="20" t="n"/>
      <c r="S30" s="20" t="n"/>
    </row>
    <row r="31" ht="15" customHeight="1" s="13">
      <c r="A31" s="17">
        <f>RANK(H31,$H$2:$H$101,0)</f>
        <v/>
      </c>
      <c r="B31" s="17">
        <f>ROUND(H31/MAX($H$2:$H$101)*100,0)</f>
        <v/>
      </c>
      <c r="C31" s="17" t="inlineStr">
        <is>
          <t>感覚・刺激</t>
        </is>
      </c>
      <c r="D31" s="18" t="inlineStr">
        <is>
          <t>自転車のブレーキ音に耐えられず「大げさ」と言われる</t>
        </is>
      </c>
      <c r="E31" s="19" t="n">
        <v>1</v>
      </c>
      <c r="F31" s="19" t="n">
        <v>5</v>
      </c>
      <c r="G31" s="19" t="n">
        <v>5</v>
      </c>
      <c r="H31" s="17">
        <f>E31*4+F31*3+G31*2</f>
        <v/>
      </c>
      <c r="I31" s="16" t="inlineStr">
        <is>
          <t>C 対話の会</t>
        </is>
      </c>
      <c r="J31" s="18" t="inlineStr">
        <is>
          <t>「大げさ」と言われる</t>
        </is>
      </c>
      <c r="K31" s="16" t="inlineStr">
        <is>
          <t>I</t>
        </is>
      </c>
      <c r="L31" s="20" t="n"/>
      <c r="M31" s="20" t="n"/>
      <c r="N31" s="20" t="n"/>
      <c r="O31" s="20" t="n"/>
      <c r="P31" s="20" t="n"/>
      <c r="Q31" s="20" t="n"/>
      <c r="R31" s="20" t="n"/>
      <c r="S31" s="20" t="n"/>
    </row>
    <row r="32" ht="15" customHeight="1" s="13">
      <c r="A32" s="17">
        <f>RANK(H32,$H$2:$H$101,0)</f>
        <v/>
      </c>
      <c r="B32" s="17">
        <f>ROUND(H32/MAX($H$2:$H$101)*100,0)</f>
        <v/>
      </c>
      <c r="C32" s="17" t="inlineStr">
        <is>
          <t>人間関係・気疲れ</t>
        </is>
      </c>
      <c r="D32" s="18" t="inlineStr">
        <is>
          <t>人と長時間一緒にいると疲れ、そんな自分が嫌になる</t>
        </is>
      </c>
      <c r="E32" s="19" t="n">
        <v>1</v>
      </c>
      <c r="F32" s="19" t="n">
        <v>5</v>
      </c>
      <c r="G32" s="19" t="n">
        <v>5</v>
      </c>
      <c r="H32" s="17">
        <f>E32*4+F32*3+G32*2</f>
        <v/>
      </c>
      <c r="I32" s="16" t="inlineStr">
        <is>
          <t>A 境界線講座</t>
        </is>
      </c>
      <c r="J32" s="18" t="inlineStr">
        <is>
          <t>「長時間」の疲れ</t>
        </is>
      </c>
      <c r="K32" s="16" t="inlineStr">
        <is>
          <t>C</t>
        </is>
      </c>
      <c r="L32" s="20" t="n"/>
      <c r="M32" s="20" t="n"/>
      <c r="N32" s="20" t="n"/>
      <c r="O32" s="20" t="n"/>
      <c r="P32" s="20" t="n"/>
      <c r="Q32" s="20" t="n"/>
      <c r="R32" s="20" t="n"/>
      <c r="S32" s="20" t="n"/>
    </row>
    <row r="33" ht="15" customHeight="1" s="13">
      <c r="A33" s="17">
        <f>RANK(H33,$H$2:$H$101,0)</f>
        <v/>
      </c>
      <c r="B33" s="17">
        <f>ROUND(H33/MAX($H$2:$H$101)*100,0)</f>
        <v/>
      </c>
      <c r="C33" s="17" t="inlineStr">
        <is>
          <t>人間関係・気疲れ</t>
        </is>
      </c>
      <c r="D33" s="18" t="inlineStr">
        <is>
          <t>周囲から共感を得にくく、わかってもらえない</t>
        </is>
      </c>
      <c r="E33" s="19" t="n">
        <v>1</v>
      </c>
      <c r="F33" s="19" t="n">
        <v>5</v>
      </c>
      <c r="G33" s="19" t="n">
        <v>5</v>
      </c>
      <c r="H33" s="17">
        <f>E33*4+F33*3+G33*2</f>
        <v/>
      </c>
      <c r="I33" s="16" t="inlineStr">
        <is>
          <t>C 対話の会</t>
        </is>
      </c>
      <c r="J33" s="18" t="inlineStr">
        <is>
          <t>「わかってもらえない」</t>
        </is>
      </c>
      <c r="K33" s="16" t="inlineStr">
        <is>
          <t>A</t>
        </is>
      </c>
      <c r="L33" s="20" t="n"/>
      <c r="M33" s="20" t="n"/>
      <c r="N33" s="20" t="n"/>
      <c r="O33" s="20" t="n"/>
      <c r="P33" s="20" t="n"/>
      <c r="Q33" s="20" t="n"/>
      <c r="R33" s="20" t="n"/>
      <c r="S33" s="20" t="n"/>
    </row>
    <row r="34" ht="15" customHeight="1" s="13">
      <c r="A34" s="17">
        <f>RANK(H34,$H$2:$H$101,0)</f>
        <v/>
      </c>
      <c r="B34" s="17">
        <f>ROUND(H34/MAX($H$2:$H$101)*100,0)</f>
        <v/>
      </c>
      <c r="C34" s="17" t="inlineStr">
        <is>
          <t>人間関係・気疲れ</t>
        </is>
      </c>
      <c r="D34" s="18" t="inlineStr">
        <is>
          <t>「繊細ぶってる」と思われるのが怖くて、言い出せない</t>
        </is>
      </c>
      <c r="E34" s="19" t="n">
        <v>1</v>
      </c>
      <c r="F34" s="19" t="n">
        <v>5</v>
      </c>
      <c r="G34" s="19" t="n">
        <v>5</v>
      </c>
      <c r="H34" s="17">
        <f>E34*4+F34*3+G34*2</f>
        <v/>
      </c>
      <c r="I34" s="16" t="inlineStr">
        <is>
          <t>C 対話の会</t>
        </is>
      </c>
      <c r="J34" s="18" t="inlineStr">
        <is>
          <t>「繊細ぶってる」の不安</t>
        </is>
      </c>
      <c r="K34" s="16" t="inlineStr">
        <is>
          <t>I</t>
        </is>
      </c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15" customHeight="1" s="13">
      <c r="A35" s="17">
        <f>RANK(H35,$H$2:$H$101,0)</f>
        <v/>
      </c>
      <c r="B35" s="17">
        <f>ROUND(H35/MAX($H$2:$H$101)*100,0)</f>
        <v/>
      </c>
      <c r="C35" s="17" t="inlineStr">
        <is>
          <t>自責・自己否定</t>
        </is>
      </c>
      <c r="D35" s="18" t="inlineStr">
        <is>
          <t>繊細な自分を「面倒くさい人間」だと感じる</t>
        </is>
      </c>
      <c r="E35" s="19" t="n">
        <v>1</v>
      </c>
      <c r="F35" s="19" t="n">
        <v>5</v>
      </c>
      <c r="G35" s="19" t="n">
        <v>5</v>
      </c>
      <c r="H35" s="17">
        <f>E35*4+F35*3+G35*2</f>
        <v/>
      </c>
      <c r="I35" s="16" t="inlineStr">
        <is>
          <t>21日間</t>
        </is>
      </c>
      <c r="J35" s="18" t="inlineStr">
        <is>
          <t>「面倒くさい」自分</t>
        </is>
      </c>
      <c r="K35" s="16" t="inlineStr">
        <is>
          <t>I</t>
        </is>
      </c>
      <c r="L35" s="20" t="n"/>
      <c r="M35" s="20" t="n"/>
      <c r="N35" s="20" t="n"/>
      <c r="O35" s="20" t="n"/>
      <c r="P35" s="20" t="n"/>
      <c r="Q35" s="20" t="n"/>
      <c r="R35" s="20" t="n"/>
      <c r="S35" s="20" t="n"/>
    </row>
    <row r="36" ht="15" customHeight="1" s="13">
      <c r="A36" s="17">
        <f>RANK(H36,$H$2:$H$101,0)</f>
        <v/>
      </c>
      <c r="B36" s="17">
        <f>ROUND(H36/MAX($H$2:$H$101)*100,0)</f>
        <v/>
      </c>
      <c r="C36" s="17" t="inlineStr">
        <is>
          <t>回復・休日・体調</t>
        </is>
      </c>
      <c r="D36" s="18" t="inlineStr">
        <is>
          <t>当日になると予定に行く気が失せる</t>
        </is>
      </c>
      <c r="E36" s="19" t="n">
        <v>1</v>
      </c>
      <c r="F36" s="19" t="n">
        <v>5</v>
      </c>
      <c r="G36" s="19" t="n">
        <v>5</v>
      </c>
      <c r="H36" s="17">
        <f>E36*4+F36*3+G36*2</f>
        <v/>
      </c>
      <c r="I36" s="16" t="inlineStr">
        <is>
          <t>A 境界線講座</t>
        </is>
      </c>
      <c r="J36" s="18" t="inlineStr">
        <is>
          <t>「当日」の気持ち</t>
        </is>
      </c>
      <c r="K36" s="16" t="inlineStr">
        <is>
          <t>D</t>
        </is>
      </c>
      <c r="L36" s="20" t="n"/>
      <c r="M36" s="20" t="n"/>
      <c r="N36" s="20" t="n"/>
      <c r="O36" s="20" t="n"/>
      <c r="P36" s="20" t="n"/>
      <c r="Q36" s="20" t="n"/>
      <c r="R36" s="20" t="n"/>
      <c r="S36" s="20" t="n"/>
    </row>
    <row r="37" ht="15" customHeight="1" s="13">
      <c r="A37" s="17">
        <f>RANK(H37,$H$2:$H$101,0)</f>
        <v/>
      </c>
      <c r="B37" s="17">
        <f>ROUND(H37/MAX($H$2:$H$101)*100,0)</f>
        <v/>
      </c>
      <c r="C37" s="17" t="inlineStr">
        <is>
          <t>回復・休日・体調</t>
        </is>
      </c>
      <c r="D37" s="18" t="inlineStr">
        <is>
          <t>休み明けのことを考えて、休日から憂うつになる</t>
        </is>
      </c>
      <c r="E37" s="19" t="n">
        <v>1</v>
      </c>
      <c r="F37" s="19" t="n">
        <v>5</v>
      </c>
      <c r="G37" s="19" t="n">
        <v>5</v>
      </c>
      <c r="H37" s="17">
        <f>E37*4+F37*3+G37*2</f>
        <v/>
      </c>
      <c r="I37" s="16" t="inlineStr">
        <is>
          <t>B 夜の音声</t>
        </is>
      </c>
      <c r="J37" s="18" t="inlineStr">
        <is>
          <t>「日曜夜」の憂うつ</t>
        </is>
      </c>
      <c r="K37" s="16" t="inlineStr">
        <is>
          <t>D</t>
        </is>
      </c>
      <c r="L37" s="20" t="n"/>
      <c r="M37" s="20" t="n"/>
      <c r="N37" s="20" t="n"/>
      <c r="O37" s="20" t="n"/>
      <c r="P37" s="20" t="n"/>
      <c r="Q37" s="20" t="n"/>
      <c r="R37" s="20" t="n"/>
      <c r="S37" s="20" t="n"/>
    </row>
    <row r="38" ht="15" customHeight="1" s="13">
      <c r="A38" s="17">
        <f>RANK(H38,$H$2:$H$101,0)</f>
        <v/>
      </c>
      <c r="B38" s="17">
        <f>ROUND(H38/MAX($H$2:$H$101)*100,0)</f>
        <v/>
      </c>
      <c r="C38" s="17" t="inlineStr">
        <is>
          <t>回復・休日・体調</t>
        </is>
      </c>
      <c r="D38" s="18" t="inlineStr">
        <is>
          <t>夜、頭が止まらず眠れない</t>
        </is>
      </c>
      <c r="E38" s="19" t="n">
        <v>1</v>
      </c>
      <c r="F38" s="19" t="n">
        <v>5</v>
      </c>
      <c r="G38" s="19" t="n">
        <v>5</v>
      </c>
      <c r="H38" s="17">
        <f>E38*4+F38*3+G38*2</f>
        <v/>
      </c>
      <c r="I38" s="16" t="inlineStr">
        <is>
          <t>B 夜の音声</t>
        </is>
      </c>
      <c r="J38" s="18" t="inlineStr">
        <is>
          <t>「眠れない」夜</t>
        </is>
      </c>
      <c r="K38" s="16" t="inlineStr">
        <is>
          <t>G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n"/>
    </row>
    <row r="39" ht="15" customHeight="1" s="13">
      <c r="A39" s="17">
        <f>RANK(H39,$H$2:$H$101,0)</f>
        <v/>
      </c>
      <c r="B39" s="17">
        <f>ROUND(H39/MAX($H$2:$H$101)*100,0)</f>
        <v/>
      </c>
      <c r="C39" s="17" t="inlineStr">
        <is>
          <t>感情・SNS・恋愛</t>
        </is>
      </c>
      <c r="D39" s="21" t="inlineStr">
        <is>
          <t>SNSのキラキラ投稿と自分を比べて落ち込む</t>
        </is>
      </c>
      <c r="E39" s="19" t="n">
        <v>1</v>
      </c>
      <c r="F39" s="19" t="n">
        <v>5</v>
      </c>
      <c r="G39" s="19" t="n">
        <v>5</v>
      </c>
      <c r="H39" s="17">
        <f>E39*4+F39*3+G39*2</f>
        <v/>
      </c>
      <c r="I39" s="16" t="inlineStr">
        <is>
          <t>21日間</t>
        </is>
      </c>
      <c r="J39" s="18" t="inlineStr">
        <is>
          <t>「SNS」の比べ疲れ</t>
        </is>
      </c>
      <c r="K39" s="16" t="inlineStr">
        <is>
          <t>D</t>
        </is>
      </c>
      <c r="L39" s="20" t="n"/>
      <c r="M39" s="20" t="n"/>
      <c r="N39" s="20" t="n"/>
      <c r="O39" s="20" t="n"/>
      <c r="P39" s="20" t="n"/>
      <c r="Q39" s="20" t="n"/>
      <c r="R39" s="20" t="n"/>
      <c r="S39" s="20" t="n"/>
    </row>
    <row r="40" ht="15" customHeight="1" s="13">
      <c r="A40" s="17">
        <f>RANK(H40,$H$2:$H$101,0)</f>
        <v/>
      </c>
      <c r="B40" s="17">
        <f>ROUND(H40/MAX($H$2:$H$101)*100,0)</f>
        <v/>
      </c>
      <c r="C40" s="17" t="inlineStr">
        <is>
          <t>感覚・刺激</t>
        </is>
      </c>
      <c r="D40" s="18" t="inlineStr">
        <is>
          <t>服のタグや肌触りが気になる</t>
        </is>
      </c>
      <c r="E40" s="19" t="n">
        <v>2</v>
      </c>
      <c r="F40" s="19" t="n">
        <v>4</v>
      </c>
      <c r="G40" s="19" t="n">
        <v>4</v>
      </c>
      <c r="H40" s="17">
        <f>E40*4+F40*3+G40*2</f>
        <v/>
      </c>
      <c r="I40" s="16" t="inlineStr">
        <is>
          <t>21日間</t>
        </is>
      </c>
      <c r="J40" s="18" t="inlineStr">
        <is>
          <t>「タグ」が気になる</t>
        </is>
      </c>
      <c r="K40" s="16" t="inlineStr">
        <is>
          <t>EG</t>
        </is>
      </c>
      <c r="L40" s="20" t="n"/>
      <c r="M40" s="20" t="n"/>
      <c r="N40" s="20" t="n"/>
      <c r="O40" s="20" t="n"/>
      <c r="P40" s="20" t="n"/>
      <c r="Q40" s="20" t="n"/>
      <c r="R40" s="20" t="n"/>
      <c r="S40" s="20" t="n"/>
    </row>
    <row r="41" ht="15" customHeight="1" s="13">
      <c r="A41" s="17">
        <f>RANK(H41,$H$2:$H$101,0)</f>
        <v/>
      </c>
      <c r="B41" s="17">
        <f>ROUND(H41/MAX($H$2:$H$101)*100,0)</f>
        <v/>
      </c>
      <c r="C41" s="17" t="inlineStr">
        <is>
          <t>感覚・刺激</t>
        </is>
      </c>
      <c r="D41" s="18" t="inlineStr">
        <is>
          <t>暴力や悲しい場面のあるドラマ・映画がつらい</t>
        </is>
      </c>
      <c r="E41" s="19" t="n">
        <v>2</v>
      </c>
      <c r="F41" s="19" t="n">
        <v>4</v>
      </c>
      <c r="G41" s="19" t="n">
        <v>4</v>
      </c>
      <c r="H41" s="17">
        <f>E41*4+F41*3+G41*2</f>
        <v/>
      </c>
      <c r="I41" s="16" t="inlineStr">
        <is>
          <t>B 夜の音声</t>
        </is>
      </c>
      <c r="J41" s="18" t="inlineStr">
        <is>
          <t>「映画」のあとの疲れ</t>
        </is>
      </c>
      <c r="K41" s="16" t="inlineStr">
        <is>
          <t>DE</t>
        </is>
      </c>
      <c r="L41" s="20" t="n"/>
      <c r="M41" s="20" t="n"/>
      <c r="N41" s="20" t="n"/>
      <c r="O41" s="20" t="n"/>
      <c r="P41" s="20" t="n"/>
      <c r="Q41" s="20" t="n"/>
      <c r="R41" s="20" t="n"/>
      <c r="S41" s="20" t="n"/>
    </row>
    <row r="42" ht="15" customHeight="1" s="13">
      <c r="A42" s="17">
        <f>RANK(H42,$H$2:$H$101,0)</f>
        <v/>
      </c>
      <c r="B42" s="17">
        <f>ROUND(H42/MAX($H$2:$H$101)*100,0)</f>
        <v/>
      </c>
      <c r="C42" s="17" t="inlineStr">
        <is>
          <t>感覚・刺激</t>
        </is>
      </c>
      <c r="D42" s="18" t="inlineStr">
        <is>
          <t>嫌な音が気になりだすと、ずっと耳から離れない</t>
        </is>
      </c>
      <c r="E42" s="19" t="n">
        <v>2</v>
      </c>
      <c r="F42" s="19" t="n">
        <v>4</v>
      </c>
      <c r="G42" s="19" t="n">
        <v>4</v>
      </c>
      <c r="H42" s="17">
        <f>E42*4+F42*3+G42*2</f>
        <v/>
      </c>
      <c r="I42" s="16" t="inlineStr">
        <is>
          <t>B 夜の音声</t>
        </is>
      </c>
      <c r="J42" s="18" t="inlineStr">
        <is>
          <t>「耳から離れない」音</t>
        </is>
      </c>
      <c r="K42" s="16" t="inlineStr">
        <is>
          <t>FI</t>
        </is>
      </c>
      <c r="L42" s="20" t="n"/>
      <c r="M42" s="20" t="n"/>
      <c r="N42" s="20" t="n"/>
      <c r="O42" s="20" t="n"/>
      <c r="P42" s="20" t="n"/>
      <c r="Q42" s="20" t="n"/>
      <c r="R42" s="20" t="n"/>
      <c r="S42" s="20" t="n"/>
    </row>
    <row r="43" ht="15" customHeight="1" s="13">
      <c r="A43" s="17">
        <f>RANK(H43,$H$2:$H$101,0)</f>
        <v/>
      </c>
      <c r="B43" s="17">
        <f>ROUND(H43/MAX($H$2:$H$101)*100,0)</f>
        <v/>
      </c>
      <c r="C43" s="17" t="inlineStr">
        <is>
          <t>人間関係・気疲れ</t>
        </is>
      </c>
      <c r="D43" s="18" t="inlineStr">
        <is>
          <t>機嫌の悪そうな人・怒っている人が苦手</t>
        </is>
      </c>
      <c r="E43" s="19" t="n">
        <v>2</v>
      </c>
      <c r="F43" s="19" t="n">
        <v>4</v>
      </c>
      <c r="G43" s="19" t="n">
        <v>4</v>
      </c>
      <c r="H43" s="17">
        <f>E43*4+F43*3+G43*2</f>
        <v/>
      </c>
      <c r="I43" s="16" t="inlineStr">
        <is>
          <t>A 境界線講座</t>
        </is>
      </c>
      <c r="J43" s="18" t="inlineStr">
        <is>
          <t>「怒っている人」</t>
        </is>
      </c>
      <c r="K43" s="16" t="inlineStr">
        <is>
          <t>EI</t>
        </is>
      </c>
      <c r="L43" s="20" t="n"/>
      <c r="M43" s="20" t="n"/>
      <c r="N43" s="20" t="n"/>
      <c r="O43" s="20" t="n"/>
      <c r="P43" s="20" t="n"/>
      <c r="Q43" s="20" t="n"/>
      <c r="R43" s="20" t="n"/>
      <c r="S43" s="20" t="n"/>
    </row>
    <row r="44" ht="15" customHeight="1" s="13">
      <c r="A44" s="17">
        <f>RANK(H44,$H$2:$H$101,0)</f>
        <v/>
      </c>
      <c r="B44" s="17">
        <f>ROUND(H44/MAX($H$2:$H$101)*100,0)</f>
        <v/>
      </c>
      <c r="C44" s="17" t="inlineStr">
        <is>
          <t>人間関係・気疲れ</t>
        </is>
      </c>
      <c r="D44" s="18" t="inlineStr">
        <is>
          <t>相手の機嫌に引きずられる</t>
        </is>
      </c>
      <c r="E44" s="19" t="n">
        <v>2</v>
      </c>
      <c r="F44" s="19" t="n">
        <v>4</v>
      </c>
      <c r="G44" s="19" t="n">
        <v>4</v>
      </c>
      <c r="H44" s="17">
        <f>E44*4+F44*3+G44*2</f>
        <v/>
      </c>
      <c r="I44" s="16" t="inlineStr">
        <is>
          <t>A 境界線講座</t>
        </is>
      </c>
      <c r="J44" s="18" t="inlineStr">
        <is>
          <t>「引きずられる」心</t>
        </is>
      </c>
      <c r="K44" s="16" t="inlineStr">
        <is>
          <t>FG</t>
        </is>
      </c>
      <c r="L44" s="20" t="n"/>
      <c r="M44" s="20" t="n"/>
      <c r="N44" s="20" t="n"/>
      <c r="O44" s="20" t="n"/>
      <c r="P44" s="20" t="n"/>
      <c r="Q44" s="20" t="n"/>
      <c r="R44" s="20" t="n"/>
      <c r="S44" s="20" t="n"/>
    </row>
    <row r="45" ht="15" customHeight="1" s="13">
      <c r="A45" s="17">
        <f>RANK(H45,$H$2:$H$101,0)</f>
        <v/>
      </c>
      <c r="B45" s="17">
        <f>ROUND(H45/MAX($H$2:$H$101)*100,0)</f>
        <v/>
      </c>
      <c r="C45" s="17" t="inlineStr">
        <is>
          <t>人間関係・気疲れ</t>
        </is>
      </c>
      <c r="D45" s="18" t="inlineStr">
        <is>
          <t>愚痴の聞き役にまわりがち</t>
        </is>
      </c>
      <c r="E45" s="19" t="n">
        <v>2</v>
      </c>
      <c r="F45" s="19" t="n">
        <v>4</v>
      </c>
      <c r="G45" s="19" t="n">
        <v>4</v>
      </c>
      <c r="H45" s="17">
        <f>E45*4+F45*3+G45*2</f>
        <v/>
      </c>
      <c r="I45" s="16" t="inlineStr">
        <is>
          <t>A 境界線講座</t>
        </is>
      </c>
      <c r="J45" s="18" t="inlineStr">
        <is>
          <t>「聞き役」の疲れ</t>
        </is>
      </c>
      <c r="K45" s="16" t="inlineStr">
        <is>
          <t>CD</t>
        </is>
      </c>
      <c r="L45" s="20" t="n"/>
      <c r="M45" s="20" t="n"/>
      <c r="N45" s="20" t="n"/>
      <c r="O45" s="20" t="n"/>
      <c r="P45" s="20" t="n"/>
      <c r="Q45" s="20" t="n"/>
      <c r="R45" s="20" t="n"/>
      <c r="S45" s="20" t="n"/>
    </row>
    <row r="46" ht="15" customHeight="1" s="13">
      <c r="A46" s="17">
        <f>RANK(H46,$H$2:$H$101,0)</f>
        <v/>
      </c>
      <c r="B46" s="17">
        <f>ROUND(H46/MAX($H$2:$H$101)*100,0)</f>
        <v/>
      </c>
      <c r="C46" s="17" t="inlineStr">
        <is>
          <t>人間関係・気疲れ</t>
        </is>
      </c>
      <c r="D46" s="18" t="inlineStr">
        <is>
          <t>周りに合わせようとしすぎる</t>
        </is>
      </c>
      <c r="E46" s="19" t="n">
        <v>2</v>
      </c>
      <c r="F46" s="19" t="n">
        <v>4</v>
      </c>
      <c r="G46" s="19" t="n">
        <v>4</v>
      </c>
      <c r="H46" s="17">
        <f>E46*4+F46*3+G46*2</f>
        <v/>
      </c>
      <c r="I46" s="16" t="inlineStr">
        <is>
          <t>A 境界線講座</t>
        </is>
      </c>
      <c r="J46" s="18" t="inlineStr">
        <is>
          <t>「合わせすぎ」</t>
        </is>
      </c>
      <c r="K46" s="16" t="inlineStr">
        <is>
          <t>AG</t>
        </is>
      </c>
      <c r="L46" s="20" t="n"/>
      <c r="M46" s="20" t="n"/>
      <c r="N46" s="20" t="n"/>
      <c r="O46" s="20" t="n"/>
      <c r="P46" s="20" t="n"/>
      <c r="Q46" s="20" t="n"/>
      <c r="R46" s="20" t="n"/>
      <c r="S46" s="20" t="n"/>
    </row>
    <row r="47" ht="15" customHeight="1" s="13">
      <c r="A47" s="17">
        <f>RANK(H47,$H$2:$H$101,0)</f>
        <v/>
      </c>
      <c r="B47" s="17">
        <f>ROUND(H47/MAX($H$2:$H$101)*100,0)</f>
        <v/>
      </c>
      <c r="C47" s="17" t="inlineStr">
        <is>
          <t>断れない・後回し</t>
        </is>
      </c>
      <c r="D47" s="18" t="inlineStr">
        <is>
          <t>頼むのも苦手</t>
        </is>
      </c>
      <c r="E47" s="19" t="n">
        <v>2</v>
      </c>
      <c r="F47" s="19" t="n">
        <v>4</v>
      </c>
      <c r="G47" s="19" t="n">
        <v>4</v>
      </c>
      <c r="H47" s="17">
        <f>E47*4+F47*3+G47*2</f>
        <v/>
      </c>
      <c r="I47" s="16" t="inlineStr">
        <is>
          <t>A 境界線講座</t>
        </is>
      </c>
      <c r="J47" s="18" t="inlineStr">
        <is>
          <t>「頼る」ことの怖さ</t>
        </is>
      </c>
      <c r="K47" s="16" t="inlineStr">
        <is>
          <t>AB</t>
        </is>
      </c>
      <c r="L47" s="20" t="n"/>
      <c r="M47" s="20" t="n"/>
      <c r="N47" s="20" t="n"/>
      <c r="O47" s="20" t="n"/>
      <c r="P47" s="20" t="n"/>
      <c r="Q47" s="20" t="n"/>
      <c r="R47" s="20" t="n"/>
      <c r="S47" s="20" t="n"/>
    </row>
    <row r="48" ht="15" customHeight="1" s="13">
      <c r="A48" s="17">
        <f>RANK(H48,$H$2:$H$101,0)</f>
        <v/>
      </c>
      <c r="B48" s="17">
        <f>ROUND(H48/MAX($H$2:$H$101)*100,0)</f>
        <v/>
      </c>
      <c r="C48" s="17" t="inlineStr">
        <is>
          <t>自責・自己否定</t>
        </is>
      </c>
      <c r="D48" s="18" t="inlineStr">
        <is>
          <t>敏感な性質を、性格の欠点だと思い込む</t>
        </is>
      </c>
      <c r="E48" s="19" t="n">
        <v>2</v>
      </c>
      <c r="F48" s="19" t="n">
        <v>4</v>
      </c>
      <c r="G48" s="19" t="n">
        <v>4</v>
      </c>
      <c r="H48" s="17">
        <f>E48*4+F48*3+G48*2</f>
        <v/>
      </c>
      <c r="I48" s="16" t="inlineStr">
        <is>
          <t>21日間</t>
        </is>
      </c>
      <c r="J48" s="18" t="inlineStr">
        <is>
          <t>「欠点」ではなく気質</t>
        </is>
      </c>
      <c r="K48" s="16" t="inlineStr">
        <is>
          <t>FI</t>
        </is>
      </c>
      <c r="L48" s="20" t="n"/>
      <c r="M48" s="20" t="n"/>
      <c r="N48" s="20" t="n"/>
      <c r="O48" s="20" t="n"/>
      <c r="P48" s="20" t="n"/>
      <c r="Q48" s="20" t="n"/>
      <c r="R48" s="20" t="n"/>
      <c r="S48" s="20" t="n"/>
    </row>
    <row r="49" ht="15" customHeight="1" s="13">
      <c r="A49" s="17">
        <f>RANK(H49,$H$2:$H$101,0)</f>
        <v/>
      </c>
      <c r="B49" s="17">
        <f>ROUND(H49/MAX($H$2:$H$101)*100,0)</f>
        <v/>
      </c>
      <c r="C49" s="17" t="inlineStr">
        <is>
          <t>自責・自己否定</t>
        </is>
      </c>
      <c r="D49" s="18" t="inlineStr">
        <is>
          <t>批判をすべて真に受ける</t>
        </is>
      </c>
      <c r="E49" s="19" t="n">
        <v>2</v>
      </c>
      <c r="F49" s="19" t="n">
        <v>4</v>
      </c>
      <c r="G49" s="19" t="n">
        <v>4</v>
      </c>
      <c r="H49" s="17">
        <f>E49*4+F49*3+G49*2</f>
        <v/>
      </c>
      <c r="I49" s="16" t="inlineStr">
        <is>
          <t>21日間</t>
        </is>
      </c>
      <c r="J49" s="18" t="inlineStr">
        <is>
          <t>「批判」を真に受ける</t>
        </is>
      </c>
      <c r="K49" s="16" t="inlineStr">
        <is>
          <t>EI</t>
        </is>
      </c>
      <c r="L49" s="20" t="n"/>
      <c r="M49" s="20" t="n"/>
      <c r="N49" s="20" t="n"/>
      <c r="O49" s="20" t="n"/>
      <c r="P49" s="20" t="n"/>
      <c r="Q49" s="20" t="n"/>
      <c r="R49" s="20" t="n"/>
      <c r="S49" s="20" t="n"/>
    </row>
    <row r="50" ht="15" customHeight="1" s="13">
      <c r="A50" s="17">
        <f>RANK(H50,$H$2:$H$101,0)</f>
        <v/>
      </c>
      <c r="B50" s="17">
        <f>ROUND(H50/MAX($H$2:$H$101)*100,0)</f>
        <v/>
      </c>
      <c r="C50" s="17" t="inlineStr">
        <is>
          <t>考えすぎ・反省会</t>
        </is>
      </c>
      <c r="D50" s="18" t="inlineStr">
        <is>
          <t>理想が高いのに頑張れない</t>
        </is>
      </c>
      <c r="E50" s="19" t="n">
        <v>2</v>
      </c>
      <c r="F50" s="19" t="n">
        <v>4</v>
      </c>
      <c r="G50" s="19" t="n">
        <v>4</v>
      </c>
      <c r="H50" s="17">
        <f>E50*4+F50*3+G50*2</f>
        <v/>
      </c>
      <c r="I50" s="16" t="inlineStr">
        <is>
          <t>E 半年伴走</t>
        </is>
      </c>
      <c r="J50" s="18" t="inlineStr">
        <is>
          <t>「理想」と現実</t>
        </is>
      </c>
      <c r="K50" s="16" t="inlineStr">
        <is>
          <t>BH</t>
        </is>
      </c>
      <c r="L50" s="20" t="n"/>
      <c r="M50" s="20" t="n"/>
      <c r="N50" s="20" t="n"/>
      <c r="O50" s="20" t="n"/>
      <c r="P50" s="20" t="n"/>
      <c r="Q50" s="20" t="n"/>
      <c r="R50" s="20" t="n"/>
      <c r="S50" s="20" t="n"/>
    </row>
    <row r="51" ht="15" customHeight="1" s="13">
      <c r="A51" s="17">
        <f>RANK(H51,$H$2:$H$101,0)</f>
        <v/>
      </c>
      <c r="B51" s="17">
        <f>ROUND(H51/MAX($H$2:$H$101)*100,0)</f>
        <v/>
      </c>
      <c r="C51" s="17" t="inlineStr">
        <is>
          <t>考えすぎ・反省会</t>
        </is>
      </c>
      <c r="D51" s="18" t="inlineStr">
        <is>
          <t>完璧主義で自分を追い込む</t>
        </is>
      </c>
      <c r="E51" s="19" t="n">
        <v>2</v>
      </c>
      <c r="F51" s="19" t="n">
        <v>4</v>
      </c>
      <c r="G51" s="19" t="n">
        <v>4</v>
      </c>
      <c r="H51" s="17">
        <f>E51*4+F51*3+G51*2</f>
        <v/>
      </c>
      <c r="I51" s="16" t="inlineStr">
        <is>
          <t>21日間</t>
        </is>
      </c>
      <c r="J51" s="18" t="inlineStr">
        <is>
          <t>「完璧主義」</t>
        </is>
      </c>
      <c r="K51" s="16" t="inlineStr">
        <is>
          <t>EF</t>
        </is>
      </c>
      <c r="L51" s="20" t="n"/>
      <c r="M51" s="20" t="n"/>
      <c r="N51" s="20" t="n"/>
      <c r="O51" s="20" t="n"/>
      <c r="P51" s="20" t="n"/>
      <c r="Q51" s="20" t="n"/>
      <c r="R51" s="20" t="n"/>
      <c r="S51" s="20" t="n"/>
    </row>
    <row r="52" ht="15" customHeight="1" s="13">
      <c r="A52" s="17">
        <f>RANK(H52,$H$2:$H$101,0)</f>
        <v/>
      </c>
      <c r="B52" s="17">
        <f>ROUND(H52/MAX($H$2:$H$101)*100,0)</f>
        <v/>
      </c>
      <c r="C52" s="17" t="inlineStr">
        <is>
          <t>仕事</t>
        </is>
      </c>
      <c r="D52" s="18" t="inlineStr">
        <is>
          <t>人に見られていると、力を発揮できない</t>
        </is>
      </c>
      <c r="E52" s="19" t="n">
        <v>2</v>
      </c>
      <c r="F52" s="19" t="n">
        <v>4</v>
      </c>
      <c r="G52" s="19" t="n">
        <v>4</v>
      </c>
      <c r="H52" s="17">
        <f>E52*4+F52*3+G52*2</f>
        <v/>
      </c>
      <c r="I52" s="16" t="inlineStr">
        <is>
          <t>D 個別対話</t>
        </is>
      </c>
      <c r="J52" s="18" t="inlineStr">
        <is>
          <t>「視線」の緊張</t>
        </is>
      </c>
      <c r="K52" s="16" t="inlineStr">
        <is>
          <t>AD</t>
        </is>
      </c>
      <c r="L52" s="20" t="n"/>
      <c r="M52" s="20" t="n"/>
      <c r="N52" s="20" t="n"/>
      <c r="O52" s="20" t="n"/>
      <c r="P52" s="20" t="n"/>
      <c r="Q52" s="20" t="n"/>
      <c r="R52" s="20" t="n"/>
      <c r="S52" s="20" t="n"/>
    </row>
    <row r="53" ht="15" customHeight="1" s="13">
      <c r="A53" s="17">
        <f>RANK(H53,$H$2:$H$101,0)</f>
        <v/>
      </c>
      <c r="B53" s="17">
        <f>ROUND(H53/MAX($H$2:$H$101)*100,0)</f>
        <v/>
      </c>
      <c r="C53" s="17" t="inlineStr">
        <is>
          <t>仕事</t>
        </is>
      </c>
      <c r="D53" s="18" t="inlineStr">
        <is>
          <t>マルチタスクや中断が苦手</t>
        </is>
      </c>
      <c r="E53" s="19" t="n">
        <v>2</v>
      </c>
      <c r="F53" s="19" t="n">
        <v>4</v>
      </c>
      <c r="G53" s="19" t="n">
        <v>4</v>
      </c>
      <c r="H53" s="17">
        <f>E53*4+F53*3+G53*2</f>
        <v/>
      </c>
      <c r="I53" s="16" t="inlineStr">
        <is>
          <t>D 個別対話</t>
        </is>
      </c>
      <c r="J53" s="18" t="inlineStr">
        <is>
          <t>「中断」されると混乱</t>
        </is>
      </c>
      <c r="K53" s="16" t="inlineStr">
        <is>
          <t>BG</t>
        </is>
      </c>
      <c r="L53" s="20" t="n"/>
      <c r="M53" s="20" t="n"/>
      <c r="N53" s="20" t="n"/>
      <c r="O53" s="20" t="n"/>
      <c r="P53" s="20" t="n"/>
      <c r="Q53" s="20" t="n"/>
      <c r="R53" s="20" t="n"/>
      <c r="S53" s="20" t="n"/>
    </row>
    <row r="54" ht="15" customHeight="1" s="13">
      <c r="A54" s="17">
        <f>RANK(H54,$H$2:$H$101,0)</f>
        <v/>
      </c>
      <c r="B54" s="17">
        <f>ROUND(H54/MAX($H$2:$H$101)*100,0)</f>
        <v/>
      </c>
      <c r="C54" s="17" t="inlineStr">
        <is>
          <t>回復・休日・体調</t>
        </is>
      </c>
      <c r="D54" s="18" t="inlineStr">
        <is>
          <t>疲れの回復に時間がかかる</t>
        </is>
      </c>
      <c r="E54" s="19" t="n">
        <v>2</v>
      </c>
      <c r="F54" s="19" t="n">
        <v>4</v>
      </c>
      <c r="G54" s="19" t="n">
        <v>4</v>
      </c>
      <c r="H54" s="17">
        <f>E54*4+F54*3+G54*2</f>
        <v/>
      </c>
      <c r="I54" s="16" t="inlineStr">
        <is>
          <t>B 夜の音声</t>
        </is>
      </c>
      <c r="J54" s="18" t="inlineStr">
        <is>
          <t>「回復」のゆっくりさ</t>
        </is>
      </c>
      <c r="K54" s="16" t="inlineStr">
        <is>
          <t>GH</t>
        </is>
      </c>
      <c r="L54" s="20" t="n"/>
      <c r="M54" s="20" t="n"/>
      <c r="N54" s="20" t="n"/>
      <c r="O54" s="20" t="n"/>
      <c r="P54" s="20" t="n"/>
      <c r="Q54" s="20" t="n"/>
      <c r="R54" s="20" t="n"/>
      <c r="S54" s="20" t="n"/>
    </row>
    <row r="55" ht="15" customHeight="1" s="13">
      <c r="A55" s="17">
        <f>RANK(H55,$H$2:$H$101,0)</f>
        <v/>
      </c>
      <c r="B55" s="17">
        <f>ROUND(H55/MAX($H$2:$H$101)*100,0)</f>
        <v/>
      </c>
      <c r="C55" s="17" t="inlineStr">
        <is>
          <t>感覚・刺激</t>
        </is>
      </c>
      <c r="D55" s="18" t="inlineStr">
        <is>
          <t>向上心はあるのに、動けない自分との葛藤</t>
        </is>
      </c>
      <c r="E55" s="19" t="n">
        <v>1</v>
      </c>
      <c r="F55" s="19" t="n">
        <v>5</v>
      </c>
      <c r="G55" s="19" t="n">
        <v>4</v>
      </c>
      <c r="H55" s="17">
        <f>E55*4+F55*3+G55*2</f>
        <v/>
      </c>
      <c r="I55" s="16" t="inlineStr">
        <is>
          <t>E 半年伴走</t>
        </is>
      </c>
      <c r="J55" s="18" t="inlineStr">
        <is>
          <t>「動けない」自分</t>
        </is>
      </c>
      <c r="K55" s="16" t="inlineStr">
        <is>
          <t>H</t>
        </is>
      </c>
      <c r="L55" s="20" t="n"/>
      <c r="M55" s="20" t="n"/>
      <c r="N55" s="20" t="n"/>
      <c r="O55" s="20" t="n"/>
      <c r="P55" s="20" t="n"/>
      <c r="Q55" s="20" t="n"/>
      <c r="R55" s="20" t="n"/>
      <c r="S55" s="20" t="n"/>
    </row>
    <row r="56" ht="15" customHeight="1" s="13">
      <c r="A56" s="17">
        <f>RANK(H56,$H$2:$H$101,0)</f>
        <v/>
      </c>
      <c r="B56" s="17">
        <f>ROUND(H56/MAX($H$2:$H$101)*100,0)</f>
        <v/>
      </c>
      <c r="C56" s="17" t="inlineStr">
        <is>
          <t>断れない・後回し</t>
        </is>
      </c>
      <c r="D56" s="18" t="inlineStr">
        <is>
          <t>キャパオーバーでも相手を優先して、体調を崩す</t>
        </is>
      </c>
      <c r="E56" s="19" t="n">
        <v>1</v>
      </c>
      <c r="F56" s="19" t="n">
        <v>5</v>
      </c>
      <c r="G56" s="19" t="n">
        <v>4</v>
      </c>
      <c r="H56" s="17">
        <f>E56*4+F56*3+G56*2</f>
        <v/>
      </c>
      <c r="I56" s="16" t="inlineStr">
        <is>
          <t>A 境界線講座</t>
        </is>
      </c>
      <c r="J56" s="18" t="inlineStr">
        <is>
          <t>「キャパ」の限界</t>
        </is>
      </c>
      <c r="K56" s="16" t="inlineStr">
        <is>
          <t>C</t>
        </is>
      </c>
      <c r="L56" s="20" t="n"/>
      <c r="M56" s="20" t="n"/>
      <c r="N56" s="20" t="n"/>
      <c r="O56" s="20" t="n"/>
      <c r="P56" s="20" t="n"/>
      <c r="Q56" s="20" t="n"/>
      <c r="R56" s="20" t="n"/>
      <c r="S56" s="20" t="n"/>
    </row>
    <row r="57" ht="15" customHeight="1" s="13">
      <c r="A57" s="17">
        <f>RANK(H57,$H$2:$H$101,0)</f>
        <v/>
      </c>
      <c r="B57" s="17">
        <f>ROUND(H57/MAX($H$2:$H$101)*100,0)</f>
        <v/>
      </c>
      <c r="C57" s="17" t="inlineStr">
        <is>
          <t>自責・自己否定</t>
        </is>
      </c>
      <c r="D57" s="18" t="inlineStr">
        <is>
          <t>クヨクヨして立ち直りが遅い</t>
        </is>
      </c>
      <c r="E57" s="19" t="n">
        <v>1</v>
      </c>
      <c r="F57" s="19" t="n">
        <v>5</v>
      </c>
      <c r="G57" s="19" t="n">
        <v>4</v>
      </c>
      <c r="H57" s="17">
        <f>E57*4+F57*3+G57*2</f>
        <v/>
      </c>
      <c r="I57" s="16" t="inlineStr">
        <is>
          <t>21日間</t>
        </is>
      </c>
      <c r="J57" s="18" t="inlineStr">
        <is>
          <t>「立ち直り」の遅さ</t>
        </is>
      </c>
      <c r="K57" s="16" t="inlineStr">
        <is>
          <t>A</t>
        </is>
      </c>
      <c r="L57" s="20" t="n"/>
      <c r="M57" s="20" t="n"/>
      <c r="N57" s="20" t="n"/>
      <c r="O57" s="20" t="n"/>
      <c r="P57" s="20" t="n"/>
      <c r="Q57" s="20" t="n"/>
      <c r="R57" s="20" t="n"/>
      <c r="S57" s="20" t="n"/>
    </row>
    <row r="58" ht="15" customHeight="1" s="13">
      <c r="A58" s="17">
        <f>RANK(H58,$H$2:$H$101,0)</f>
        <v/>
      </c>
      <c r="B58" s="17">
        <f>ROUND(H58/MAX($H$2:$H$101)*100,0)</f>
        <v/>
      </c>
      <c r="C58" s="17" t="inlineStr">
        <is>
          <t>感覚・刺激</t>
        </is>
      </c>
      <c r="D58" s="18" t="inlineStr">
        <is>
          <t>雨の日・天気で気分が沈む</t>
        </is>
      </c>
      <c r="E58" s="19" t="n">
        <v>1</v>
      </c>
      <c r="F58" s="19" t="n">
        <v>4</v>
      </c>
      <c r="G58" s="19" t="n">
        <v>5</v>
      </c>
      <c r="H58" s="17">
        <f>E58*4+F58*3+G58*2</f>
        <v/>
      </c>
      <c r="I58" s="16" t="inlineStr">
        <is>
          <t>21日間</t>
        </is>
      </c>
      <c r="J58" s="18" t="inlineStr">
        <is>
          <t>「雨の日」の気分</t>
        </is>
      </c>
      <c r="K58" s="16" t="inlineStr">
        <is>
          <t>B</t>
        </is>
      </c>
      <c r="L58" s="20" t="n"/>
      <c r="M58" s="20" t="n"/>
      <c r="N58" s="20" t="n"/>
      <c r="O58" s="20" t="n"/>
      <c r="P58" s="20" t="n"/>
      <c r="Q58" s="20" t="n"/>
      <c r="R58" s="20" t="n"/>
      <c r="S58" s="20" t="n"/>
    </row>
    <row r="59" ht="15" customHeight="1" s="13">
      <c r="A59" s="17">
        <f>RANK(H59,$H$2:$H$101,0)</f>
        <v/>
      </c>
      <c r="B59" s="17">
        <f>ROUND(H59/MAX($H$2:$H$101)*100,0)</f>
        <v/>
      </c>
      <c r="C59" s="17" t="inlineStr">
        <is>
          <t>人間関係・気疲れ</t>
        </is>
      </c>
      <c r="D59" s="21" t="inlineStr">
        <is>
          <t>LINEの返信に時間がかかる</t>
        </is>
      </c>
      <c r="E59" s="19" t="n">
        <v>1</v>
      </c>
      <c r="F59" s="19" t="n">
        <v>4</v>
      </c>
      <c r="G59" s="19" t="n">
        <v>5</v>
      </c>
      <c r="H59" s="17">
        <f>E59*4+F59*3+G59*2</f>
        <v/>
      </c>
      <c r="I59" s="16" t="inlineStr">
        <is>
          <t>21日間</t>
        </is>
      </c>
      <c r="J59" s="18" t="inlineStr">
        <is>
          <t>「返信」できない夜</t>
        </is>
      </c>
      <c r="K59" s="16" t="inlineStr">
        <is>
          <t>D</t>
        </is>
      </c>
      <c r="L59" s="20" t="n"/>
      <c r="M59" s="20" t="n"/>
      <c r="N59" s="20" t="n"/>
      <c r="O59" s="20" t="n"/>
      <c r="P59" s="20" t="n"/>
      <c r="Q59" s="20" t="n"/>
      <c r="R59" s="20" t="n"/>
      <c r="S59" s="20" t="n"/>
    </row>
    <row r="60" ht="15" customHeight="1" s="13">
      <c r="A60" s="17">
        <f>RANK(H60,$H$2:$H$101,0)</f>
        <v/>
      </c>
      <c r="B60" s="17">
        <f>ROUND(H60/MAX($H$2:$H$101)*100,0)</f>
        <v/>
      </c>
      <c r="C60" s="17" t="inlineStr">
        <is>
          <t>感情・SNS・恋愛</t>
        </is>
      </c>
      <c r="D60" s="18" t="inlineStr">
        <is>
          <t>映画や人の涙で、もらい泣きしてしまう</t>
        </is>
      </c>
      <c r="E60" s="19" t="n">
        <v>1</v>
      </c>
      <c r="F60" s="19" t="n">
        <v>4</v>
      </c>
      <c r="G60" s="19" t="n">
        <v>5</v>
      </c>
      <c r="H60" s="17">
        <f>E60*4+F60*3+G60*2</f>
        <v/>
      </c>
      <c r="I60" s="16" t="inlineStr">
        <is>
          <t>C 対話の会</t>
        </is>
      </c>
      <c r="J60" s="18" t="inlineStr">
        <is>
          <t>「もらい泣き」</t>
        </is>
      </c>
      <c r="K60" s="16" t="inlineStr">
        <is>
          <t>D</t>
        </is>
      </c>
      <c r="L60" s="20" t="n"/>
      <c r="M60" s="20" t="n"/>
      <c r="N60" s="20" t="n"/>
      <c r="O60" s="20" t="n"/>
      <c r="P60" s="20" t="n"/>
      <c r="Q60" s="20" t="n"/>
      <c r="R60" s="20" t="n"/>
      <c r="S60" s="20" t="n"/>
    </row>
    <row r="61" ht="15" customHeight="1" s="13">
      <c r="A61" s="17">
        <f>RANK(H61,$H$2:$H$101,0)</f>
        <v/>
      </c>
      <c r="B61" s="17">
        <f>ROUND(H61/MAX($H$2:$H$101)*100,0)</f>
        <v/>
      </c>
      <c r="C61" s="17" t="inlineStr">
        <is>
          <t>考えすぎ・反省会</t>
        </is>
      </c>
      <c r="D61" s="18" t="inlineStr">
        <is>
          <t>細部を考えすぎて、作業が遅れる</t>
        </is>
      </c>
      <c r="E61" s="19" t="n">
        <v>2</v>
      </c>
      <c r="F61" s="19" t="n">
        <v>4</v>
      </c>
      <c r="G61" s="19" t="n">
        <v>3</v>
      </c>
      <c r="H61" s="17">
        <f>E61*4+F61*3+G61*2</f>
        <v/>
      </c>
      <c r="I61" s="16" t="inlineStr">
        <is>
          <t>21日間</t>
        </is>
      </c>
      <c r="J61" s="18" t="inlineStr">
        <is>
          <t>「細部」へのこだわり</t>
        </is>
      </c>
      <c r="K61" s="16" t="inlineStr">
        <is>
          <t>EF</t>
        </is>
      </c>
      <c r="L61" s="20" t="n"/>
      <c r="M61" s="20" t="n"/>
      <c r="N61" s="20" t="n"/>
      <c r="O61" s="20" t="n"/>
      <c r="P61" s="20" t="n"/>
      <c r="Q61" s="20" t="n"/>
      <c r="R61" s="20" t="n"/>
      <c r="S61" s="20" t="n"/>
    </row>
    <row r="62" ht="15" customHeight="1" s="13">
      <c r="A62" s="17">
        <f>RANK(H62,$H$2:$H$101,0)</f>
        <v/>
      </c>
      <c r="B62" s="17">
        <f>ROUND(H62/MAX($H$2:$H$101)*100,0)</f>
        <v/>
      </c>
      <c r="C62" s="17" t="inlineStr">
        <is>
          <t>回復・休日・体調</t>
        </is>
      </c>
      <c r="D62" s="18" t="inlineStr">
        <is>
          <t>頭痛・肩こり・不眠・胃腸の不調が出やすい</t>
        </is>
      </c>
      <c r="E62" s="19" t="n">
        <v>2</v>
      </c>
      <c r="F62" s="19" t="n">
        <v>4</v>
      </c>
      <c r="G62" s="19" t="n">
        <v>3</v>
      </c>
      <c r="H62" s="17">
        <f>E62*4+F62*3+G62*2</f>
        <v/>
      </c>
      <c r="I62" s="16" t="inlineStr">
        <is>
          <t>B 夜の音声</t>
        </is>
      </c>
      <c r="J62" s="18" t="inlineStr">
        <is>
          <t>「体のサイン」</t>
        </is>
      </c>
      <c r="K62" s="16" t="inlineStr">
        <is>
          <t>FG</t>
        </is>
      </c>
      <c r="L62" s="20" t="n"/>
      <c r="M62" s="20" t="n"/>
      <c r="N62" s="20" t="n"/>
      <c r="O62" s="20" t="n"/>
      <c r="P62" s="20" t="n"/>
      <c r="Q62" s="20" t="n"/>
      <c r="R62" s="20" t="n"/>
      <c r="S62" s="20" t="n"/>
    </row>
    <row r="63" ht="29.85" customHeight="1" s="13">
      <c r="A63" s="17">
        <f>RANK(H63,$H$2:$H$101,0)</f>
        <v/>
      </c>
      <c r="B63" s="17">
        <f>ROUND(H63/MAX($H$2:$H$101)*100,0)</f>
        <v/>
      </c>
      <c r="C63" s="17" t="inlineStr">
        <is>
          <t>感覚・刺激</t>
        </is>
      </c>
      <c r="D63" s="18" t="inlineStr">
        <is>
          <t>疲れていると、いつもの音が刺さるように大きく聞こえる(実体験由来)</t>
        </is>
      </c>
      <c r="E63" s="19" t="n">
        <v>0</v>
      </c>
      <c r="F63" s="19" t="n">
        <v>5</v>
      </c>
      <c r="G63" s="19" t="n">
        <v>5</v>
      </c>
      <c r="H63" s="17">
        <f>E63*4+F63*3+G63*2</f>
        <v/>
      </c>
      <c r="I63" s="16" t="inlineStr">
        <is>
          <t>B 夜の音声</t>
        </is>
      </c>
      <c r="J63" s="18" t="inlineStr">
        <is>
          <t>「疲れた耳」</t>
        </is>
      </c>
      <c r="K63" s="17" t="inlineStr">
        <is>
          <t>実体験</t>
        </is>
      </c>
      <c r="L63" s="20" t="n"/>
      <c r="M63" s="20" t="inlineStr">
        <is>
          <t>○</t>
        </is>
      </c>
      <c r="N63" s="20" t="n"/>
      <c r="O63" s="20" t="n"/>
      <c r="P63" s="20" t="n"/>
      <c r="Q63" s="20" t="n"/>
      <c r="R63" s="20" t="n"/>
      <c r="S63" s="20" t="n"/>
    </row>
    <row r="64" ht="15" customHeight="1" s="13">
      <c r="A64" s="17">
        <f>RANK(H64,$H$2:$H$101,0)</f>
        <v/>
      </c>
      <c r="B64" s="17">
        <f>ROUND(H64/MAX($H$2:$H$101)*100,0)</f>
        <v/>
      </c>
      <c r="C64" s="17" t="inlineStr">
        <is>
          <t>考えすぎ・反省会</t>
        </is>
      </c>
      <c r="D64" s="18" t="inlineStr">
        <is>
          <t>店選びなど小さなことで迷って疲れる</t>
        </is>
      </c>
      <c r="E64" s="19" t="n">
        <v>2</v>
      </c>
      <c r="F64" s="19" t="n">
        <v>3</v>
      </c>
      <c r="G64" s="19" t="n">
        <v>4</v>
      </c>
      <c r="H64" s="17">
        <f>E64*4+F64*3+G64*2</f>
        <v/>
      </c>
      <c r="I64" s="16" t="inlineStr">
        <is>
          <t>21日間</t>
        </is>
      </c>
      <c r="J64" s="18" t="inlineStr">
        <is>
          <t>「店選び」の迷い</t>
        </is>
      </c>
      <c r="K64" s="16" t="inlineStr">
        <is>
          <t>EI</t>
        </is>
      </c>
      <c r="L64" s="20" t="n"/>
      <c r="M64" s="20" t="n"/>
      <c r="N64" s="20" t="n"/>
      <c r="O64" s="20" t="n"/>
      <c r="P64" s="20" t="n"/>
      <c r="Q64" s="20" t="n"/>
      <c r="R64" s="20" t="n"/>
      <c r="S64" s="20" t="n"/>
    </row>
    <row r="65" ht="15" customHeight="1" s="13">
      <c r="A65" s="17">
        <f>RANK(H65,$H$2:$H$101,0)</f>
        <v/>
      </c>
      <c r="B65" s="17">
        <f>ROUND(H65/MAX($H$2:$H$101)*100,0)</f>
        <v/>
      </c>
      <c r="C65" s="17" t="inlineStr">
        <is>
          <t>感覚・刺激</t>
        </is>
      </c>
      <c r="D65" s="18" t="inlineStr">
        <is>
          <t>家に他人がいると、休まらない</t>
        </is>
      </c>
      <c r="E65" s="19" t="n">
        <v>1</v>
      </c>
      <c r="F65" s="19" t="n">
        <v>4</v>
      </c>
      <c r="G65" s="19" t="n">
        <v>4</v>
      </c>
      <c r="H65" s="17">
        <f>E65*4+F65*3+G65*2</f>
        <v/>
      </c>
      <c r="I65" s="16" t="inlineStr">
        <is>
          <t>A 境界線講座</t>
        </is>
      </c>
      <c r="J65" s="18" t="inlineStr">
        <is>
          <t>「家」で休めない</t>
        </is>
      </c>
      <c r="K65" s="16" t="inlineStr">
        <is>
          <t>E</t>
        </is>
      </c>
      <c r="L65" s="20" t="n"/>
      <c r="M65" s="20" t="n"/>
      <c r="N65" s="20" t="n"/>
      <c r="O65" s="20" t="n"/>
      <c r="P65" s="20" t="n"/>
      <c r="Q65" s="20" t="n"/>
      <c r="R65" s="20" t="n"/>
      <c r="S65" s="20" t="n"/>
    </row>
    <row r="66" ht="15" customHeight="1" s="13">
      <c r="A66" s="17">
        <f>RANK(H66,$H$2:$H$101,0)</f>
        <v/>
      </c>
      <c r="B66" s="17">
        <f>ROUND(H66/MAX($H$2:$H$101)*100,0)</f>
        <v/>
      </c>
      <c r="C66" s="17" t="inlineStr">
        <is>
          <t>断れない・後回し</t>
        </is>
      </c>
      <c r="D66" s="18" t="inlineStr">
        <is>
          <t>気が進まない誘いに応じてしまう</t>
        </is>
      </c>
      <c r="E66" s="19" t="n">
        <v>1</v>
      </c>
      <c r="F66" s="19" t="n">
        <v>4</v>
      </c>
      <c r="G66" s="19" t="n">
        <v>4</v>
      </c>
      <c r="H66" s="17">
        <f>E66*4+F66*3+G66*2</f>
        <v/>
      </c>
      <c r="I66" s="16" t="inlineStr">
        <is>
          <t>A 境界線講座</t>
        </is>
      </c>
      <c r="J66" s="18" t="inlineStr">
        <is>
          <t>「気が進まない」誘い</t>
        </is>
      </c>
      <c r="K66" s="16" t="inlineStr">
        <is>
          <t>D</t>
        </is>
      </c>
      <c r="L66" s="20" t="n"/>
      <c r="M66" s="20" t="n"/>
      <c r="N66" s="20" t="n"/>
      <c r="O66" s="20" t="n"/>
      <c r="P66" s="20" t="n"/>
      <c r="Q66" s="20" t="n"/>
      <c r="R66" s="20" t="n"/>
      <c r="S66" s="20" t="n"/>
    </row>
    <row r="67" ht="15" customHeight="1" s="13">
      <c r="A67" s="17">
        <f>RANK(H67,$H$2:$H$101,0)</f>
        <v/>
      </c>
      <c r="B67" s="17">
        <f>ROUND(H67/MAX($H$2:$H$101)*100,0)</f>
        <v/>
      </c>
      <c r="C67" s="17" t="inlineStr">
        <is>
          <t>断れない・後回し</t>
        </is>
      </c>
      <c r="D67" s="18" t="inlineStr">
        <is>
          <t>相手の希望を叶えたくて、ゆずってばかりいる</t>
        </is>
      </c>
      <c r="E67" s="19" t="n">
        <v>1</v>
      </c>
      <c r="F67" s="19" t="n">
        <v>4</v>
      </c>
      <c r="G67" s="19" t="n">
        <v>4</v>
      </c>
      <c r="H67" s="17">
        <f>E67*4+F67*3+G67*2</f>
        <v/>
      </c>
      <c r="I67" s="16" t="inlineStr">
        <is>
          <t>A 境界線講座</t>
        </is>
      </c>
      <c r="J67" s="18" t="inlineStr">
        <is>
          <t>「ゆずる」癖</t>
        </is>
      </c>
      <c r="K67" s="16" t="inlineStr">
        <is>
          <t>C</t>
        </is>
      </c>
      <c r="L67" s="20" t="n"/>
      <c r="M67" s="20" t="n"/>
      <c r="N67" s="20" t="n"/>
      <c r="O67" s="20" t="n"/>
      <c r="P67" s="20" t="n"/>
      <c r="Q67" s="20" t="n"/>
      <c r="R67" s="20" t="n"/>
      <c r="S67" s="20" t="n"/>
    </row>
    <row r="68" ht="15" customHeight="1" s="13">
      <c r="A68" s="17">
        <f>RANK(H68,$H$2:$H$101,0)</f>
        <v/>
      </c>
      <c r="B68" s="17">
        <f>ROUND(H68/MAX($H$2:$H$101)*100,0)</f>
        <v/>
      </c>
      <c r="C68" s="17" t="inlineStr">
        <is>
          <t>断れない・後回し</t>
        </is>
      </c>
      <c r="D68" s="18" t="inlineStr">
        <is>
          <t>先回りして仕事を増やし、頑張りすぎる</t>
        </is>
      </c>
      <c r="E68" s="19" t="n">
        <v>1</v>
      </c>
      <c r="F68" s="19" t="n">
        <v>4</v>
      </c>
      <c r="G68" s="19" t="n">
        <v>4</v>
      </c>
      <c r="H68" s="17">
        <f>E68*4+F68*3+G68*2</f>
        <v/>
      </c>
      <c r="I68" s="16" t="inlineStr">
        <is>
          <t>A 境界線講座</t>
        </is>
      </c>
      <c r="J68" s="18" t="inlineStr">
        <is>
          <t>「先回り」の頑張り</t>
        </is>
      </c>
      <c r="K68" s="16" t="inlineStr">
        <is>
          <t>A</t>
        </is>
      </c>
      <c r="L68" s="20" t="n"/>
      <c r="M68" s="20" t="n"/>
      <c r="N68" s="20" t="n"/>
      <c r="O68" s="20" t="n"/>
      <c r="P68" s="20" t="n"/>
      <c r="Q68" s="20" t="n"/>
      <c r="R68" s="20" t="n"/>
      <c r="S68" s="20" t="n"/>
    </row>
    <row r="69" ht="15" customHeight="1" s="13">
      <c r="A69" s="17">
        <f>RANK(H69,$H$2:$H$101,0)</f>
        <v/>
      </c>
      <c r="B69" s="17">
        <f>ROUND(H69/MAX($H$2:$H$101)*100,0)</f>
        <v/>
      </c>
      <c r="C69" s="17" t="inlineStr">
        <is>
          <t>断れない・後回し</t>
        </is>
      </c>
      <c r="D69" s="18" t="inlineStr">
        <is>
          <t>人に甘えたり頼ったりできない</t>
        </is>
      </c>
      <c r="E69" s="19" t="n">
        <v>1</v>
      </c>
      <c r="F69" s="19" t="n">
        <v>4</v>
      </c>
      <c r="G69" s="19" t="n">
        <v>4</v>
      </c>
      <c r="H69" s="17">
        <f>E69*4+F69*3+G69*2</f>
        <v/>
      </c>
      <c r="I69" s="16" t="inlineStr">
        <is>
          <t>D 個別対話</t>
        </is>
      </c>
      <c r="J69" s="18" t="inlineStr">
        <is>
          <t>「甘えられない」</t>
        </is>
      </c>
      <c r="K69" s="16" t="inlineStr">
        <is>
          <t>A</t>
        </is>
      </c>
      <c r="L69" s="20" t="n"/>
      <c r="M69" s="20" t="n"/>
      <c r="N69" s="20" t="n"/>
      <c r="O69" s="20" t="n"/>
      <c r="P69" s="20" t="n"/>
      <c r="Q69" s="20" t="n"/>
      <c r="R69" s="20" t="n"/>
      <c r="S69" s="20" t="n"/>
    </row>
    <row r="70" ht="15" customHeight="1" s="13">
      <c r="A70" s="17">
        <f>RANK(H70,$H$2:$H$101,0)</f>
        <v/>
      </c>
      <c r="B70" s="17">
        <f>ROUND(H70/MAX($H$2:$H$101)*100,0)</f>
        <v/>
      </c>
      <c r="C70" s="17" t="inlineStr">
        <is>
          <t>自責・自己否定</t>
        </is>
      </c>
      <c r="D70" s="18" t="inlineStr">
        <is>
          <t>対立すると、自分が悪いと感じる</t>
        </is>
      </c>
      <c r="E70" s="19" t="n">
        <v>1</v>
      </c>
      <c r="F70" s="19" t="n">
        <v>4</v>
      </c>
      <c r="G70" s="19" t="n">
        <v>4</v>
      </c>
      <c r="H70" s="17">
        <f>E70*4+F70*3+G70*2</f>
        <v/>
      </c>
      <c r="I70" s="16" t="inlineStr">
        <is>
          <t>D 個別対話</t>
        </is>
      </c>
      <c r="J70" s="18" t="inlineStr">
        <is>
          <t>「対立」のあと</t>
        </is>
      </c>
      <c r="K70" s="16" t="inlineStr">
        <is>
          <t>E</t>
        </is>
      </c>
      <c r="L70" s="20" t="n"/>
      <c r="M70" s="20" t="n"/>
      <c r="N70" s="20" t="n"/>
      <c r="O70" s="20" t="n"/>
      <c r="P70" s="20" t="n"/>
      <c r="Q70" s="20" t="n"/>
      <c r="R70" s="20" t="n"/>
      <c r="S70" s="20" t="n"/>
    </row>
    <row r="71" ht="15" customHeight="1" s="13">
      <c r="A71" s="17">
        <f>RANK(H71,$H$2:$H$101,0)</f>
        <v/>
      </c>
      <c r="B71" s="17">
        <f>ROUND(H71/MAX($H$2:$H$101)*100,0)</f>
        <v/>
      </c>
      <c r="C71" s="17" t="inlineStr">
        <is>
          <t>自責・自己否定</t>
        </is>
      </c>
      <c r="D71" s="18" t="inlineStr">
        <is>
          <t>小さなミスでも大きく落ち込む</t>
        </is>
      </c>
      <c r="E71" s="19" t="n">
        <v>1</v>
      </c>
      <c r="F71" s="19" t="n">
        <v>4</v>
      </c>
      <c r="G71" s="19" t="n">
        <v>4</v>
      </c>
      <c r="H71" s="17">
        <f>E71*4+F71*3+G71*2</f>
        <v/>
      </c>
      <c r="I71" s="16" t="inlineStr">
        <is>
          <t>21日間</t>
        </is>
      </c>
      <c r="J71" s="18" t="inlineStr">
        <is>
          <t>「小さなミス」</t>
        </is>
      </c>
      <c r="K71" s="16" t="inlineStr">
        <is>
          <t>E</t>
        </is>
      </c>
      <c r="L71" s="20" t="n"/>
      <c r="M71" s="20" t="n"/>
      <c r="N71" s="20" t="n"/>
      <c r="O71" s="20" t="n"/>
      <c r="P71" s="20" t="n"/>
      <c r="Q71" s="20" t="n"/>
      <c r="R71" s="20" t="n"/>
      <c r="S71" s="20" t="n"/>
    </row>
    <row r="72" ht="15" customHeight="1" s="13">
      <c r="A72" s="17">
        <f>RANK(H72,$H$2:$H$101,0)</f>
        <v/>
      </c>
      <c r="B72" s="17">
        <f>ROUND(H72/MAX($H$2:$H$101)*100,0)</f>
        <v/>
      </c>
      <c r="C72" s="17" t="inlineStr">
        <is>
          <t>自責・自己否定</t>
        </is>
      </c>
      <c r="D72" s="18" t="inlineStr">
        <is>
          <t>相手の期待に応えられないと「自分のせいだ」と責める</t>
        </is>
      </c>
      <c r="E72" s="19" t="n">
        <v>1</v>
      </c>
      <c r="F72" s="19" t="n">
        <v>4</v>
      </c>
      <c r="G72" s="19" t="n">
        <v>4</v>
      </c>
      <c r="H72" s="17">
        <f>E72*4+F72*3+G72*2</f>
        <v/>
      </c>
      <c r="I72" s="16" t="inlineStr">
        <is>
          <t>D 個別対話</t>
        </is>
      </c>
      <c r="J72" s="18" t="inlineStr">
        <is>
          <t>「期待」の重さ</t>
        </is>
      </c>
      <c r="K72" s="16" t="inlineStr">
        <is>
          <t>F</t>
        </is>
      </c>
      <c r="L72" s="20" t="n"/>
      <c r="M72" s="20" t="n"/>
      <c r="N72" s="20" t="n"/>
      <c r="O72" s="20" t="n"/>
      <c r="P72" s="20" t="n"/>
      <c r="Q72" s="20" t="n"/>
      <c r="R72" s="20" t="n"/>
      <c r="S72" s="20" t="n"/>
    </row>
    <row r="73" ht="15" customHeight="1" s="13">
      <c r="A73" s="17">
        <f>RANK(H73,$H$2:$H$101,0)</f>
        <v/>
      </c>
      <c r="B73" s="17">
        <f>ROUND(H73/MAX($H$2:$H$101)*100,0)</f>
        <v/>
      </c>
      <c r="C73" s="17" t="inlineStr">
        <is>
          <t>自責・自己否定</t>
        </is>
      </c>
      <c r="D73" s="18" t="inlineStr">
        <is>
          <t>気にしなくていいと分かっていても、自分で止められない</t>
        </is>
      </c>
      <c r="E73" s="19" t="n">
        <v>1</v>
      </c>
      <c r="F73" s="19" t="n">
        <v>4</v>
      </c>
      <c r="G73" s="19" t="n">
        <v>4</v>
      </c>
      <c r="H73" s="17">
        <f>E73*4+F73*3+G73*2</f>
        <v/>
      </c>
      <c r="I73" s="16" t="inlineStr">
        <is>
          <t>21日間</t>
        </is>
      </c>
      <c r="J73" s="18" t="inlineStr">
        <is>
          <t>「分かっているのに」</t>
        </is>
      </c>
      <c r="K73" s="16" t="inlineStr">
        <is>
          <t>I</t>
        </is>
      </c>
      <c r="L73" s="20" t="n"/>
      <c r="M73" s="20" t="n"/>
      <c r="N73" s="20" t="n"/>
      <c r="O73" s="20" t="n"/>
      <c r="P73" s="20" t="n"/>
      <c r="Q73" s="20" t="n"/>
      <c r="R73" s="20" t="n"/>
      <c r="S73" s="20" t="n"/>
    </row>
    <row r="74" ht="15" customHeight="1" s="13">
      <c r="A74" s="17">
        <f>RANK(H74,$H$2:$H$101,0)</f>
        <v/>
      </c>
      <c r="B74" s="17">
        <f>ROUND(H74/MAX($H$2:$H$101)*100,0)</f>
        <v/>
      </c>
      <c r="C74" s="17" t="inlineStr">
        <is>
          <t>考えすぎ・反省会</t>
        </is>
      </c>
      <c r="D74" s="18" t="inlineStr">
        <is>
          <t>失敗を何年も覚えていて、頭から離れない</t>
        </is>
      </c>
      <c r="E74" s="19" t="n">
        <v>1</v>
      </c>
      <c r="F74" s="19" t="n">
        <v>4</v>
      </c>
      <c r="G74" s="19" t="n">
        <v>4</v>
      </c>
      <c r="H74" s="17">
        <f>E74*4+F74*3+G74*2</f>
        <v/>
      </c>
      <c r="I74" s="16" t="inlineStr">
        <is>
          <t>B 夜の音声</t>
        </is>
      </c>
      <c r="J74" s="18" t="inlineStr">
        <is>
          <t>「昔の失敗」</t>
        </is>
      </c>
      <c r="K74" s="16" t="inlineStr">
        <is>
          <t>B</t>
        </is>
      </c>
      <c r="L74" s="20" t="n"/>
      <c r="M74" s="20" t="n"/>
      <c r="N74" s="20" t="n"/>
      <c r="O74" s="20" t="n"/>
      <c r="P74" s="20" t="n"/>
      <c r="Q74" s="20" t="n"/>
      <c r="R74" s="20" t="n"/>
      <c r="S74" s="20" t="n"/>
    </row>
    <row r="75" ht="15" customHeight="1" s="13">
      <c r="A75" s="17">
        <f>RANK(H75,$H$2:$H$101,0)</f>
        <v/>
      </c>
      <c r="B75" s="17">
        <f>ROUND(H75/MAX($H$2:$H$101)*100,0)</f>
        <v/>
      </c>
      <c r="C75" s="17" t="inlineStr">
        <is>
          <t>考えすぎ・反省会</t>
        </is>
      </c>
      <c r="D75" s="18" t="inlineStr">
        <is>
          <t>チャンスが来ても、悩んでいるうちに逃す</t>
        </is>
      </c>
      <c r="E75" s="19" t="n">
        <v>1</v>
      </c>
      <c r="F75" s="19" t="n">
        <v>4</v>
      </c>
      <c r="G75" s="19" t="n">
        <v>4</v>
      </c>
      <c r="H75" s="17">
        <f>E75*4+F75*3+G75*2</f>
        <v/>
      </c>
      <c r="I75" s="16" t="inlineStr">
        <is>
          <t>E 半年伴走</t>
        </is>
      </c>
      <c r="J75" s="18" t="inlineStr">
        <is>
          <t>「チャンス」の前</t>
        </is>
      </c>
      <c r="K75" s="16" t="inlineStr">
        <is>
          <t>B</t>
        </is>
      </c>
      <c r="L75" s="20" t="n"/>
      <c r="M75" s="20" t="n"/>
      <c r="N75" s="20" t="n"/>
      <c r="O75" s="20" t="n"/>
      <c r="P75" s="20" t="n"/>
      <c r="Q75" s="20" t="n"/>
      <c r="R75" s="20" t="n"/>
      <c r="S75" s="20" t="n"/>
    </row>
    <row r="76" ht="15" customHeight="1" s="13">
      <c r="A76" s="17">
        <f>RANK(H76,$H$2:$H$101,0)</f>
        <v/>
      </c>
      <c r="B76" s="17">
        <f>ROUND(H76/MAX($H$2:$H$101)*100,0)</f>
        <v/>
      </c>
      <c r="C76" s="17" t="inlineStr">
        <is>
          <t>考えすぎ・反省会</t>
        </is>
      </c>
      <c r="D76" s="18" t="inlineStr">
        <is>
          <t>興味があることを行動に移せない</t>
        </is>
      </c>
      <c r="E76" s="19" t="n">
        <v>1</v>
      </c>
      <c r="F76" s="19" t="n">
        <v>4</v>
      </c>
      <c r="G76" s="19" t="n">
        <v>4</v>
      </c>
      <c r="H76" s="17">
        <f>E76*4+F76*3+G76*2</f>
        <v/>
      </c>
      <c r="I76" s="16" t="inlineStr">
        <is>
          <t>E 半年伴走</t>
        </is>
      </c>
      <c r="J76" s="18" t="inlineStr">
        <is>
          <t>「動き出せない」</t>
        </is>
      </c>
      <c r="K76" s="16" t="inlineStr">
        <is>
          <t>B</t>
        </is>
      </c>
      <c r="L76" s="20" t="n"/>
      <c r="M76" s="20" t="n"/>
      <c r="N76" s="20" t="n"/>
      <c r="O76" s="20" t="n"/>
      <c r="P76" s="20" t="n"/>
      <c r="Q76" s="20" t="n"/>
      <c r="R76" s="20" t="n"/>
      <c r="S76" s="20" t="n"/>
    </row>
    <row r="77" ht="15" customHeight="1" s="13">
      <c r="A77" s="17">
        <f>RANK(H77,$H$2:$H$101,0)</f>
        <v/>
      </c>
      <c r="B77" s="17">
        <f>ROUND(H77/MAX($H$2:$H$101)*100,0)</f>
        <v/>
      </c>
      <c r="C77" s="17" t="inlineStr">
        <is>
          <t>仕事</t>
        </is>
      </c>
      <c r="D77" s="18" t="inlineStr">
        <is>
          <t>電話対応が苦手</t>
        </is>
      </c>
      <c r="E77" s="19" t="n">
        <v>1</v>
      </c>
      <c r="F77" s="19" t="n">
        <v>4</v>
      </c>
      <c r="G77" s="19" t="n">
        <v>4</v>
      </c>
      <c r="H77" s="17">
        <f>E77*4+F77*3+G77*2</f>
        <v/>
      </c>
      <c r="I77" s="16" t="inlineStr">
        <is>
          <t>D 個別対話</t>
        </is>
      </c>
      <c r="J77" s="18" t="inlineStr">
        <is>
          <t>「電話」の緊張</t>
        </is>
      </c>
      <c r="K77" s="16" t="inlineStr">
        <is>
          <t>D</t>
        </is>
      </c>
      <c r="L77" s="20" t="n"/>
      <c r="M77" s="20" t="n"/>
      <c r="N77" s="20" t="n"/>
      <c r="O77" s="20" t="n"/>
      <c r="P77" s="20" t="n"/>
      <c r="Q77" s="20" t="n"/>
      <c r="R77" s="20" t="n"/>
      <c r="S77" s="20" t="n"/>
    </row>
    <row r="78" ht="15" customHeight="1" s="13">
      <c r="A78" s="17">
        <f>RANK(H78,$H$2:$H$101,0)</f>
        <v/>
      </c>
      <c r="B78" s="17">
        <f>ROUND(H78/MAX($H$2:$H$101)*100,0)</f>
        <v/>
      </c>
      <c r="C78" s="17" t="inlineStr">
        <is>
          <t>仕事</t>
        </is>
      </c>
      <c r="D78" s="18" t="inlineStr">
        <is>
          <t>急かされると集中できない</t>
        </is>
      </c>
      <c r="E78" s="19" t="n">
        <v>1</v>
      </c>
      <c r="F78" s="19" t="n">
        <v>4</v>
      </c>
      <c r="G78" s="19" t="n">
        <v>4</v>
      </c>
      <c r="H78" s="17">
        <f>E78*4+F78*3+G78*2</f>
        <v/>
      </c>
      <c r="I78" s="16" t="inlineStr">
        <is>
          <t>D 個別対話</t>
        </is>
      </c>
      <c r="J78" s="18" t="inlineStr">
        <is>
          <t>「急かされる」と固まる</t>
        </is>
      </c>
      <c r="K78" s="16" t="inlineStr">
        <is>
          <t>E</t>
        </is>
      </c>
      <c r="L78" s="20" t="n"/>
      <c r="M78" s="20" t="n"/>
      <c r="N78" s="20" t="n"/>
      <c r="O78" s="20" t="n"/>
      <c r="P78" s="20" t="n"/>
      <c r="Q78" s="20" t="n"/>
      <c r="R78" s="20" t="n"/>
      <c r="S78" s="20" t="n"/>
    </row>
    <row r="79" ht="15" customHeight="1" s="13">
      <c r="A79" s="17">
        <f>RANK(H79,$H$2:$H$101,0)</f>
        <v/>
      </c>
      <c r="B79" s="17">
        <f>ROUND(H79/MAX($H$2:$H$101)*100,0)</f>
        <v/>
      </c>
      <c r="C79" s="17" t="inlineStr">
        <is>
          <t>回復・休日・体調</t>
        </is>
      </c>
      <c r="D79" s="18" t="inlineStr">
        <is>
          <t>忙しい日が続くと引きこもりたくなる</t>
        </is>
      </c>
      <c r="E79" s="19" t="n">
        <v>1</v>
      </c>
      <c r="F79" s="19" t="n">
        <v>4</v>
      </c>
      <c r="G79" s="19" t="n">
        <v>4</v>
      </c>
      <c r="H79" s="17">
        <f>E79*4+F79*3+G79*2</f>
        <v/>
      </c>
      <c r="I79" s="16" t="inlineStr">
        <is>
          <t>B 夜の音声</t>
        </is>
      </c>
      <c r="J79" s="18" t="inlineStr">
        <is>
          <t>「引きこもりたい」日</t>
        </is>
      </c>
      <c r="K79" s="16" t="inlineStr">
        <is>
          <t>E</t>
        </is>
      </c>
      <c r="L79" s="20" t="n"/>
      <c r="M79" s="20" t="n"/>
      <c r="N79" s="20" t="n"/>
      <c r="O79" s="20" t="n"/>
      <c r="P79" s="20" t="n"/>
      <c r="Q79" s="20" t="n"/>
      <c r="R79" s="20" t="n"/>
      <c r="S79" s="20" t="n"/>
    </row>
    <row r="80" ht="15" customHeight="1" s="13">
      <c r="A80" s="17">
        <f>RANK(H80,$H$2:$H$101,0)</f>
        <v/>
      </c>
      <c r="B80" s="17">
        <f>ROUND(H80/MAX($H$2:$H$101)*100,0)</f>
        <v/>
      </c>
      <c r="C80" s="17" t="inlineStr">
        <is>
          <t>感情・SNS・恋愛</t>
        </is>
      </c>
      <c r="D80" s="18" t="inlineStr">
        <is>
          <t>相手に迷惑をかけないか気にして、恋愛が進まない</t>
        </is>
      </c>
      <c r="E80" s="19" t="n">
        <v>1</v>
      </c>
      <c r="F80" s="19" t="n">
        <v>4</v>
      </c>
      <c r="G80" s="19" t="n">
        <v>4</v>
      </c>
      <c r="H80" s="17">
        <f>E80*4+F80*3+G80*2</f>
        <v/>
      </c>
      <c r="I80" s="16" t="inlineStr">
        <is>
          <t>D 個別対話</t>
        </is>
      </c>
      <c r="J80" s="18" t="inlineStr">
        <is>
          <t>「迷惑」を気にする恋</t>
        </is>
      </c>
      <c r="K80" s="16" t="inlineStr">
        <is>
          <t>D</t>
        </is>
      </c>
      <c r="L80" s="20" t="n"/>
      <c r="M80" s="20" t="n"/>
      <c r="N80" s="20" t="n"/>
      <c r="O80" s="20" t="n"/>
      <c r="P80" s="20" t="n"/>
      <c r="Q80" s="20" t="n"/>
      <c r="R80" s="20" t="n"/>
      <c r="S80" s="20" t="n"/>
    </row>
    <row r="81" ht="15" customHeight="1" s="13">
      <c r="A81" s="17">
        <f>RANK(H81,$H$2:$H$101,0)</f>
        <v/>
      </c>
      <c r="B81" s="17">
        <f>ROUND(H81/MAX($H$2:$H$101)*100,0)</f>
        <v/>
      </c>
      <c r="C81" s="17" t="inlineStr">
        <is>
          <t>感情・SNS・恋愛</t>
        </is>
      </c>
      <c r="D81" s="18" t="inlineStr">
        <is>
          <t>投稿したあと、相手の受け取り方が気になる</t>
        </is>
      </c>
      <c r="E81" s="19" t="n">
        <v>1</v>
      </c>
      <c r="F81" s="19" t="n">
        <v>4</v>
      </c>
      <c r="G81" s="19" t="n">
        <v>4</v>
      </c>
      <c r="H81" s="17">
        <f>E81*4+F81*3+G81*2</f>
        <v/>
      </c>
      <c r="I81" s="16" t="inlineStr">
        <is>
          <t>21日間</t>
        </is>
      </c>
      <c r="J81" s="18" t="inlineStr">
        <is>
          <t>「投稿」のあと</t>
        </is>
      </c>
      <c r="K81" s="16" t="inlineStr">
        <is>
          <t>D</t>
        </is>
      </c>
      <c r="L81" s="20" t="n"/>
      <c r="M81" s="20" t="n"/>
      <c r="N81" s="20" t="n"/>
      <c r="O81" s="20" t="n"/>
      <c r="P81" s="20" t="n"/>
      <c r="Q81" s="20" t="n"/>
      <c r="R81" s="20" t="n"/>
      <c r="S81" s="20" t="n"/>
    </row>
    <row r="82" ht="15" customHeight="1" s="13">
      <c r="A82" s="17">
        <f>RANK(H82,$H$2:$H$101,0)</f>
        <v/>
      </c>
      <c r="B82" s="17">
        <f>ROUND(H82/MAX($H$2:$H$101)*100,0)</f>
        <v/>
      </c>
      <c r="C82" s="17" t="inlineStr">
        <is>
          <t>感覚・刺激</t>
        </is>
      </c>
      <c r="D82" s="18" t="inlineStr">
        <is>
          <t>暑さ寒さ・痛みに敏感</t>
        </is>
      </c>
      <c r="E82" s="19" t="n">
        <v>2</v>
      </c>
      <c r="F82" s="19" t="n">
        <v>3</v>
      </c>
      <c r="G82" s="19" t="n">
        <v>3</v>
      </c>
      <c r="H82" s="17">
        <f>E82*4+F82*3+G82*2</f>
        <v/>
      </c>
      <c r="I82" s="16" t="inlineStr">
        <is>
          <t>B 夜の音声</t>
        </is>
      </c>
      <c r="J82" s="18" t="inlineStr">
        <is>
          <t>「暑さ寒さ」への反応</t>
        </is>
      </c>
      <c r="K82" s="16" t="inlineStr">
        <is>
          <t>CG</t>
        </is>
      </c>
      <c r="L82" s="20" t="n"/>
      <c r="M82" s="20" t="n"/>
      <c r="N82" s="20" t="n"/>
      <c r="O82" s="20" t="n"/>
      <c r="P82" s="20" t="n"/>
      <c r="Q82" s="20" t="n"/>
      <c r="R82" s="20" t="n"/>
      <c r="S82" s="20" t="n"/>
    </row>
    <row r="83" ht="15" customHeight="1" s="13">
      <c r="A83" s="17">
        <f>RANK(H83,$H$2:$H$101,0)</f>
        <v/>
      </c>
      <c r="B83" s="17">
        <f>ROUND(H83/MAX($H$2:$H$101)*100,0)</f>
        <v/>
      </c>
      <c r="C83" s="17" t="inlineStr">
        <is>
          <t>仕事</t>
        </is>
      </c>
      <c r="D83" s="18" t="inlineStr">
        <is>
          <t>複数の締め切りが重なるとパニックになる</t>
        </is>
      </c>
      <c r="E83" s="19" t="n">
        <v>2</v>
      </c>
      <c r="F83" s="19" t="n">
        <v>3</v>
      </c>
      <c r="G83" s="19" t="n">
        <v>3</v>
      </c>
      <c r="H83" s="17">
        <f>E83*4+F83*3+G83*2</f>
        <v/>
      </c>
      <c r="I83" s="16" t="inlineStr">
        <is>
          <t>D 個別対話</t>
        </is>
      </c>
      <c r="J83" s="18" t="inlineStr">
        <is>
          <t>「締め切り」の重なり</t>
        </is>
      </c>
      <c r="K83" s="16" t="inlineStr">
        <is>
          <t>EG</t>
        </is>
      </c>
      <c r="L83" s="20" t="n"/>
      <c r="M83" s="20" t="n"/>
      <c r="N83" s="20" t="n"/>
      <c r="O83" s="20" t="n"/>
      <c r="P83" s="20" t="n"/>
      <c r="Q83" s="20" t="n"/>
      <c r="R83" s="20" t="n"/>
      <c r="S83" s="20" t="n"/>
    </row>
    <row r="84" ht="15" customHeight="1" s="13">
      <c r="A84" s="17">
        <f>RANK(H84,$H$2:$H$101,0)</f>
        <v/>
      </c>
      <c r="B84" s="17">
        <f>ROUND(H84/MAX($H$2:$H$101)*100,0)</f>
        <v/>
      </c>
      <c r="C84" s="17" t="inlineStr">
        <is>
          <t>人間関係・気疲れ</t>
        </is>
      </c>
      <c r="D84" s="18" t="inlineStr">
        <is>
          <t>初対面が苦手</t>
        </is>
      </c>
      <c r="E84" s="19" t="n">
        <v>1</v>
      </c>
      <c r="F84" s="19" t="n">
        <v>4</v>
      </c>
      <c r="G84" s="19" t="n">
        <v>3</v>
      </c>
      <c r="H84" s="17">
        <f>E84*4+F84*3+G84*2</f>
        <v/>
      </c>
      <c r="I84" s="16" t="inlineStr">
        <is>
          <t>A 境界線講座</t>
        </is>
      </c>
      <c r="J84" s="18" t="inlineStr">
        <is>
          <t>「初対面」の緊張</t>
        </is>
      </c>
      <c r="K84" s="16" t="inlineStr">
        <is>
          <t>B</t>
        </is>
      </c>
      <c r="L84" s="20" t="n"/>
      <c r="M84" s="20" t="n"/>
      <c r="N84" s="20" t="n"/>
      <c r="O84" s="20" t="n"/>
      <c r="P84" s="20" t="n"/>
      <c r="Q84" s="20" t="n"/>
      <c r="R84" s="20" t="n"/>
      <c r="S84" s="20" t="n"/>
    </row>
    <row r="85" ht="15" customHeight="1" s="13">
      <c r="A85" s="17">
        <f>RANK(H85,$H$2:$H$101,0)</f>
        <v/>
      </c>
      <c r="B85" s="17">
        <f>ROUND(H85/MAX($H$2:$H$101)*100,0)</f>
        <v/>
      </c>
      <c r="C85" s="17" t="inlineStr">
        <is>
          <t>断れない・後回し</t>
        </is>
      </c>
      <c r="D85" s="18" t="inlineStr">
        <is>
          <t>反対意見があっても言い返せない</t>
        </is>
      </c>
      <c r="E85" s="19" t="n">
        <v>1</v>
      </c>
      <c r="F85" s="19" t="n">
        <v>4</v>
      </c>
      <c r="G85" s="19" t="n">
        <v>3</v>
      </c>
      <c r="H85" s="17">
        <f>E85*4+F85*3+G85*2</f>
        <v/>
      </c>
      <c r="I85" s="16" t="inlineStr">
        <is>
          <t>A 境界線講座</t>
        </is>
      </c>
      <c r="J85" s="18" t="inlineStr">
        <is>
          <t>「言い返せない」</t>
        </is>
      </c>
      <c r="K85" s="16" t="inlineStr">
        <is>
          <t>E</t>
        </is>
      </c>
      <c r="L85" s="20" t="n"/>
      <c r="M85" s="20" t="n"/>
      <c r="N85" s="20" t="n"/>
      <c r="O85" s="20" t="n"/>
      <c r="P85" s="20" t="n"/>
      <c r="Q85" s="20" t="n"/>
      <c r="R85" s="20" t="n"/>
      <c r="S85" s="20" t="n"/>
    </row>
    <row r="86" ht="15" customHeight="1" s="13">
      <c r="A86" s="17">
        <f>RANK(H86,$H$2:$H$101,0)</f>
        <v/>
      </c>
      <c r="B86" s="17">
        <f>ROUND(H86/MAX($H$2:$H$101)*100,0)</f>
        <v/>
      </c>
      <c r="C86" s="17" t="inlineStr">
        <is>
          <t>考えすぎ・反省会</t>
        </is>
      </c>
      <c r="D86" s="18" t="inlineStr">
        <is>
          <t>将来を想像して不安になる</t>
        </is>
      </c>
      <c r="E86" s="19" t="n">
        <v>1</v>
      </c>
      <c r="F86" s="19" t="n">
        <v>4</v>
      </c>
      <c r="G86" s="19" t="n">
        <v>3</v>
      </c>
      <c r="H86" s="17">
        <f>E86*4+F86*3+G86*2</f>
        <v/>
      </c>
      <c r="I86" s="16" t="inlineStr">
        <is>
          <t>E 半年伴走</t>
        </is>
      </c>
      <c r="J86" s="18" t="inlineStr">
        <is>
          <t>「将来」への不安</t>
        </is>
      </c>
      <c r="K86" s="16" t="inlineStr">
        <is>
          <t>E</t>
        </is>
      </c>
      <c r="L86" s="20" t="n"/>
      <c r="M86" s="20" t="n"/>
      <c r="N86" s="20" t="n"/>
      <c r="O86" s="20" t="n"/>
      <c r="P86" s="20" t="n"/>
      <c r="Q86" s="20" t="n"/>
      <c r="R86" s="20" t="n"/>
      <c r="S86" s="20" t="n"/>
    </row>
    <row r="87" ht="15" customHeight="1" s="13">
      <c r="A87" s="17">
        <f>RANK(H87,$H$2:$H$101,0)</f>
        <v/>
      </c>
      <c r="B87" s="17">
        <f>ROUND(H87/MAX($H$2:$H$101)*100,0)</f>
        <v/>
      </c>
      <c r="C87" s="17" t="inlineStr">
        <is>
          <t>考えすぎ・反省会</t>
        </is>
      </c>
      <c r="D87" s="18" t="inlineStr">
        <is>
          <t>つらい出来事を引きずる</t>
        </is>
      </c>
      <c r="E87" s="19" t="n">
        <v>1</v>
      </c>
      <c r="F87" s="19" t="n">
        <v>4</v>
      </c>
      <c r="G87" s="19" t="n">
        <v>3</v>
      </c>
      <c r="H87" s="17">
        <f>E87*4+F87*3+G87*2</f>
        <v/>
      </c>
      <c r="I87" s="16" t="inlineStr">
        <is>
          <t>D 個別対話</t>
        </is>
      </c>
      <c r="J87" s="18" t="inlineStr">
        <is>
          <t>「引きずる」記憶</t>
        </is>
      </c>
      <c r="K87" s="16" t="inlineStr">
        <is>
          <t>A</t>
        </is>
      </c>
      <c r="L87" s="20" t="n"/>
      <c r="M87" s="20" t="n"/>
      <c r="N87" s="20" t="n"/>
      <c r="O87" s="20" t="n"/>
      <c r="P87" s="20" t="n"/>
      <c r="Q87" s="20" t="n"/>
      <c r="R87" s="20" t="n"/>
      <c r="S87" s="20" t="n"/>
    </row>
    <row r="88" ht="15" customHeight="1" s="13">
      <c r="A88" s="17">
        <f>RANK(H88,$H$2:$H$101,0)</f>
        <v/>
      </c>
      <c r="B88" s="17">
        <f>ROUND(H88/MAX($H$2:$H$101)*100,0)</f>
        <v/>
      </c>
      <c r="C88" s="17" t="inlineStr">
        <is>
          <t>仕事</t>
        </is>
      </c>
      <c r="D88" s="18" t="inlineStr">
        <is>
          <t>人前に出ると思うだけで緊張する</t>
        </is>
      </c>
      <c r="E88" s="19" t="n">
        <v>1</v>
      </c>
      <c r="F88" s="19" t="n">
        <v>4</v>
      </c>
      <c r="G88" s="19" t="n">
        <v>3</v>
      </c>
      <c r="H88" s="17">
        <f>E88*4+F88*3+G88*2</f>
        <v/>
      </c>
      <c r="I88" s="16" t="inlineStr">
        <is>
          <t>D 個別対話</t>
        </is>
      </c>
      <c r="J88" s="18" t="inlineStr">
        <is>
          <t>「人前」の緊張</t>
        </is>
      </c>
      <c r="K88" s="16" t="inlineStr">
        <is>
          <t>A</t>
        </is>
      </c>
      <c r="L88" s="20" t="n"/>
      <c r="M88" s="20" t="n"/>
      <c r="N88" s="20" t="n"/>
      <c r="O88" s="20" t="n"/>
      <c r="P88" s="20" t="n"/>
      <c r="Q88" s="20" t="n"/>
      <c r="R88" s="20" t="n"/>
      <c r="S88" s="20" t="n"/>
    </row>
    <row r="89" ht="15" customHeight="1" s="13">
      <c r="A89" s="17">
        <f>RANK(H89,$H$2:$H$101,0)</f>
        <v/>
      </c>
      <c r="B89" s="17">
        <f>ROUND(H89/MAX($H$2:$H$101)*100,0)</f>
        <v/>
      </c>
      <c r="C89" s="17" t="inlineStr">
        <is>
          <t>仕事</t>
        </is>
      </c>
      <c r="D89" s="18" t="inlineStr">
        <is>
          <t>仕事が続かない・1年で辞めたくなる</t>
        </is>
      </c>
      <c r="E89" s="19" t="n">
        <v>1</v>
      </c>
      <c r="F89" s="19" t="n">
        <v>4</v>
      </c>
      <c r="G89" s="19" t="n">
        <v>3</v>
      </c>
      <c r="H89" s="17">
        <f>E89*4+F89*3+G89*2</f>
        <v/>
      </c>
      <c r="I89" s="16" t="inlineStr">
        <is>
          <t>E 半年伴走</t>
        </is>
      </c>
      <c r="J89" s="18" t="inlineStr">
        <is>
          <t>「仕事が続かない」</t>
        </is>
      </c>
      <c r="K89" s="16" t="inlineStr">
        <is>
          <t>H</t>
        </is>
      </c>
      <c r="L89" s="20" t="n"/>
      <c r="M89" s="20" t="n"/>
      <c r="N89" s="20" t="n"/>
      <c r="O89" s="20" t="n"/>
      <c r="P89" s="20" t="n"/>
      <c r="Q89" s="20" t="n"/>
      <c r="R89" s="20" t="n"/>
      <c r="S89" s="20" t="n"/>
    </row>
    <row r="90" ht="15" customHeight="1" s="13">
      <c r="A90" s="17">
        <f>RANK(H90,$H$2:$H$101,0)</f>
        <v/>
      </c>
      <c r="B90" s="17">
        <f>ROUND(H90/MAX($H$2:$H$101)*100,0)</f>
        <v/>
      </c>
      <c r="C90" s="17" t="inlineStr">
        <is>
          <t>仕事</t>
        </is>
      </c>
      <c r="D90" s="18" t="inlineStr">
        <is>
          <t>環境の変化に慣れるのに時間がかかる</t>
        </is>
      </c>
      <c r="E90" s="19" t="n">
        <v>1</v>
      </c>
      <c r="F90" s="19" t="n">
        <v>4</v>
      </c>
      <c r="G90" s="19" t="n">
        <v>3</v>
      </c>
      <c r="H90" s="17">
        <f>E90*4+F90*3+G90*2</f>
        <v/>
      </c>
      <c r="I90" s="16" t="inlineStr">
        <is>
          <t>D 個別対話</t>
        </is>
      </c>
      <c r="J90" s="18" t="inlineStr">
        <is>
          <t>「環境の変化」</t>
        </is>
      </c>
      <c r="K90" s="16" t="inlineStr">
        <is>
          <t>E</t>
        </is>
      </c>
      <c r="L90" s="20" t="n"/>
      <c r="M90" s="20" t="n"/>
      <c r="N90" s="20" t="n"/>
      <c r="O90" s="20" t="n"/>
      <c r="P90" s="20" t="n"/>
      <c r="Q90" s="20" t="n"/>
      <c r="R90" s="20" t="n"/>
      <c r="S90" s="20" t="n"/>
    </row>
    <row r="91" ht="15" customHeight="1" s="13">
      <c r="A91" s="17">
        <f>RANK(H91,$H$2:$H$101,0)</f>
        <v/>
      </c>
      <c r="B91" s="17">
        <f>ROUND(H91/MAX($H$2:$H$101)*100,0)</f>
        <v/>
      </c>
      <c r="C91" s="17" t="inlineStr">
        <is>
          <t>人間関係・気疲れ</t>
        </is>
      </c>
      <c r="D91" s="18" t="inlineStr">
        <is>
          <t>「優先してもらうのが好きな人」が周りに集まりやすい</t>
        </is>
      </c>
      <c r="E91" s="19" t="n">
        <v>1</v>
      </c>
      <c r="F91" s="19" t="n">
        <v>3</v>
      </c>
      <c r="G91" s="19" t="n">
        <v>4</v>
      </c>
      <c r="H91" s="17">
        <f>E91*4+F91*3+G91*2</f>
        <v/>
      </c>
      <c r="I91" s="16" t="inlineStr">
        <is>
          <t>A 境界線講座</t>
        </is>
      </c>
      <c r="J91" s="18" t="inlineStr">
        <is>
          <t>「頼られやすい」人</t>
        </is>
      </c>
      <c r="K91" s="16" t="inlineStr">
        <is>
          <t>C</t>
        </is>
      </c>
      <c r="L91" s="20" t="n"/>
      <c r="M91" s="20" t="n"/>
      <c r="N91" s="20" t="n"/>
      <c r="O91" s="20" t="n"/>
      <c r="P91" s="20" t="n"/>
      <c r="Q91" s="20" t="n"/>
      <c r="R91" s="20" t="n"/>
      <c r="S91" s="20" t="n"/>
    </row>
    <row r="92" ht="15" customHeight="1" s="13">
      <c r="A92" s="17">
        <f>RANK(H92,$H$2:$H$101,0)</f>
        <v/>
      </c>
      <c r="B92" s="17">
        <f>ROUND(H92/MAX($H$2:$H$101)*100,0)</f>
        <v/>
      </c>
      <c r="C92" s="17" t="inlineStr">
        <is>
          <t>人間関係・気疲れ</t>
        </is>
      </c>
      <c r="D92" s="18" t="inlineStr">
        <is>
          <t>体育会系のノリになじめない</t>
        </is>
      </c>
      <c r="E92" s="19" t="n">
        <v>1</v>
      </c>
      <c r="F92" s="19" t="n">
        <v>3</v>
      </c>
      <c r="G92" s="19" t="n">
        <v>4</v>
      </c>
      <c r="H92" s="17">
        <f>E92*4+F92*3+G92*2</f>
        <v/>
      </c>
      <c r="I92" s="16" t="inlineStr">
        <is>
          <t>C 対話の会</t>
        </is>
      </c>
      <c r="J92" s="18" t="inlineStr">
        <is>
          <t>「ノリ」になじめない</t>
        </is>
      </c>
      <c r="K92" s="16" t="inlineStr">
        <is>
          <t>D</t>
        </is>
      </c>
      <c r="L92" s="20" t="n"/>
      <c r="M92" s="20" t="n"/>
      <c r="N92" s="20" t="n"/>
      <c r="O92" s="20" t="n"/>
      <c r="P92" s="20" t="n"/>
      <c r="Q92" s="20" t="n"/>
      <c r="R92" s="20" t="n"/>
      <c r="S92" s="20" t="n"/>
    </row>
    <row r="93" ht="15" customHeight="1" s="13">
      <c r="A93" s="17">
        <f>RANK(H93,$H$2:$H$101,0)</f>
        <v/>
      </c>
      <c r="B93" s="17">
        <f>ROUND(H93/MAX($H$2:$H$101)*100,0)</f>
        <v/>
      </c>
      <c r="C93" s="17" t="inlineStr">
        <is>
          <t>感覚・刺激</t>
        </is>
      </c>
      <c r="D93" s="18" t="inlineStr">
        <is>
          <t>電車や飲食店で、落ち着かない</t>
        </is>
      </c>
      <c r="E93" s="19" t="n">
        <v>1</v>
      </c>
      <c r="F93" s="19" t="n">
        <v>3</v>
      </c>
      <c r="G93" s="19" t="n">
        <v>3</v>
      </c>
      <c r="H93" s="17">
        <f>E93*4+F93*3+G93*2</f>
        <v/>
      </c>
      <c r="I93" s="16" t="inlineStr">
        <is>
          <t>B 夜の音声</t>
        </is>
      </c>
      <c r="J93" s="18" t="inlineStr">
        <is>
          <t>「電車」の中</t>
        </is>
      </c>
      <c r="K93" s="16" t="inlineStr">
        <is>
          <t>E</t>
        </is>
      </c>
      <c r="L93" s="20" t="n"/>
      <c r="M93" s="20" t="n"/>
      <c r="N93" s="20" t="n"/>
      <c r="O93" s="20" t="n"/>
      <c r="P93" s="20" t="n"/>
      <c r="Q93" s="20" t="n"/>
      <c r="R93" s="20" t="n"/>
      <c r="S93" s="20" t="n"/>
    </row>
    <row r="94" ht="15" customHeight="1" s="13">
      <c r="A94" s="17">
        <f>RANK(H94,$H$2:$H$101,0)</f>
        <v/>
      </c>
      <c r="B94" s="17">
        <f>ROUND(H94/MAX($H$2:$H$101)*100,0)</f>
        <v/>
      </c>
      <c r="C94" s="17" t="inlineStr">
        <is>
          <t>人間関係・気疲れ</t>
        </is>
      </c>
      <c r="D94" s="18" t="inlineStr">
        <is>
          <t>沈黙が続くと落ち着かない</t>
        </is>
      </c>
      <c r="E94" s="19" t="n">
        <v>1</v>
      </c>
      <c r="F94" s="19" t="n">
        <v>3</v>
      </c>
      <c r="G94" s="19" t="n">
        <v>3</v>
      </c>
      <c r="H94" s="17">
        <f>E94*4+F94*3+G94*2</f>
        <v/>
      </c>
      <c r="I94" s="16" t="inlineStr">
        <is>
          <t>A 境界線講座</t>
        </is>
      </c>
      <c r="J94" s="18" t="inlineStr">
        <is>
          <t>「沈黙」の時間</t>
        </is>
      </c>
      <c r="K94" s="16" t="inlineStr">
        <is>
          <t>D</t>
        </is>
      </c>
      <c r="L94" s="20" t="n"/>
      <c r="M94" s="20" t="n"/>
      <c r="N94" s="20" t="n"/>
      <c r="O94" s="20" t="n"/>
      <c r="P94" s="20" t="n"/>
      <c r="Q94" s="20" t="n"/>
      <c r="R94" s="20" t="n"/>
      <c r="S94" s="20" t="n"/>
    </row>
    <row r="95" ht="15" customHeight="1" s="13">
      <c r="A95" s="17">
        <f>RANK(H95,$H$2:$H$101,0)</f>
        <v/>
      </c>
      <c r="B95" s="17">
        <f>ROUND(H95/MAX($H$2:$H$101)*100,0)</f>
        <v/>
      </c>
      <c r="C95" s="17" t="inlineStr">
        <is>
          <t>人間関係・気疲れ</t>
        </is>
      </c>
      <c r="D95" s="18" t="inlineStr">
        <is>
          <t>人付き合い自体が苦手</t>
        </is>
      </c>
      <c r="E95" s="19" t="n">
        <v>1</v>
      </c>
      <c r="F95" s="19" t="n">
        <v>3</v>
      </c>
      <c r="G95" s="19" t="n">
        <v>3</v>
      </c>
      <c r="H95" s="17">
        <f>E95*4+F95*3+G95*2</f>
        <v/>
      </c>
      <c r="I95" s="16" t="inlineStr">
        <is>
          <t>C 対話の会</t>
        </is>
      </c>
      <c r="J95" s="18" t="inlineStr">
        <is>
          <t>「人付き合い」</t>
        </is>
      </c>
      <c r="K95" s="16" t="inlineStr">
        <is>
          <t>A</t>
        </is>
      </c>
      <c r="L95" s="20" t="n"/>
      <c r="M95" s="20" t="n"/>
      <c r="N95" s="20" t="n"/>
      <c r="O95" s="20" t="n"/>
      <c r="P95" s="20" t="n"/>
      <c r="Q95" s="20" t="n"/>
      <c r="R95" s="20" t="n"/>
      <c r="S95" s="20" t="n"/>
    </row>
    <row r="96" ht="15" customHeight="1" s="13">
      <c r="A96" s="17">
        <f>RANK(H96,$H$2:$H$101,0)</f>
        <v/>
      </c>
      <c r="B96" s="17">
        <f>ROUND(H96/MAX($H$2:$H$101)*100,0)</f>
        <v/>
      </c>
      <c r="C96" s="17" t="inlineStr">
        <is>
          <t>人間関係・気疲れ</t>
        </is>
      </c>
      <c r="D96" s="18" t="inlineStr">
        <is>
          <t>苦手な人がいる場にいられない</t>
        </is>
      </c>
      <c r="E96" s="19" t="n">
        <v>1</v>
      </c>
      <c r="F96" s="19" t="n">
        <v>3</v>
      </c>
      <c r="G96" s="19" t="n">
        <v>3</v>
      </c>
      <c r="H96" s="17">
        <f>E96*4+F96*3+G96*2</f>
        <v/>
      </c>
      <c r="I96" s="16" t="inlineStr">
        <is>
          <t>A 境界線講座</t>
        </is>
      </c>
      <c r="J96" s="18" t="inlineStr">
        <is>
          <t>「苦手な人」がいる場</t>
        </is>
      </c>
      <c r="K96" s="16" t="inlineStr">
        <is>
          <t>D</t>
        </is>
      </c>
      <c r="L96" s="20" t="n"/>
      <c r="M96" s="20" t="n"/>
      <c r="N96" s="20" t="n"/>
      <c r="O96" s="20" t="n"/>
      <c r="P96" s="20" t="n"/>
      <c r="Q96" s="20" t="n"/>
      <c r="R96" s="20" t="n"/>
      <c r="S96" s="20" t="n"/>
    </row>
    <row r="97" ht="15" customHeight="1" s="13">
      <c r="A97" s="17">
        <f>RANK(H97,$H$2:$H$101,0)</f>
        <v/>
      </c>
      <c r="B97" s="17">
        <f>ROUND(H97/MAX($H$2:$H$101)*100,0)</f>
        <v/>
      </c>
      <c r="C97" s="17" t="inlineStr">
        <is>
          <t>考えすぎ・反省会</t>
        </is>
      </c>
      <c r="D97" s="18" t="inlineStr">
        <is>
          <t>忘れ物がないか何度も確認する</t>
        </is>
      </c>
      <c r="E97" s="19" t="n">
        <v>1</v>
      </c>
      <c r="F97" s="19" t="n">
        <v>3</v>
      </c>
      <c r="G97" s="19" t="n">
        <v>3</v>
      </c>
      <c r="H97" s="17">
        <f>E97*4+F97*3+G97*2</f>
        <v/>
      </c>
      <c r="I97" s="16" t="inlineStr">
        <is>
          <t>21日間</t>
        </is>
      </c>
      <c r="J97" s="18" t="inlineStr">
        <is>
          <t>「確認」の癖</t>
        </is>
      </c>
      <c r="K97" s="16" t="inlineStr">
        <is>
          <t>E</t>
        </is>
      </c>
      <c r="L97" s="20" t="n"/>
      <c r="M97" s="20" t="n"/>
      <c r="N97" s="20" t="n"/>
      <c r="O97" s="20" t="n"/>
      <c r="P97" s="20" t="n"/>
      <c r="Q97" s="20" t="n"/>
      <c r="R97" s="20" t="n"/>
      <c r="S97" s="20" t="n"/>
    </row>
    <row r="98" ht="15" customHeight="1" s="13">
      <c r="A98" s="17">
        <f>RANK(H98,$H$2:$H$101,0)</f>
        <v/>
      </c>
      <c r="B98" s="17">
        <f>ROUND(H98/MAX($H$2:$H$101)*100,0)</f>
        <v/>
      </c>
      <c r="C98" s="17" t="inlineStr">
        <is>
          <t>仕事</t>
        </is>
      </c>
      <c r="D98" s="18" t="inlineStr">
        <is>
          <t>会議で発言するのが苦手</t>
        </is>
      </c>
      <c r="E98" s="19" t="n">
        <v>1</v>
      </c>
      <c r="F98" s="19" t="n">
        <v>3</v>
      </c>
      <c r="G98" s="19" t="n">
        <v>3</v>
      </c>
      <c r="H98" s="17">
        <f>E98*4+F98*3+G98*2</f>
        <v/>
      </c>
      <c r="I98" s="16" t="inlineStr">
        <is>
          <t>D 個別対話</t>
        </is>
      </c>
      <c r="J98" s="18" t="inlineStr">
        <is>
          <t>「会議」の発言</t>
        </is>
      </c>
      <c r="K98" s="16" t="inlineStr">
        <is>
          <t>D</t>
        </is>
      </c>
      <c r="L98" s="20" t="n"/>
      <c r="M98" s="20" t="n"/>
      <c r="N98" s="20" t="n"/>
      <c r="O98" s="20" t="n"/>
      <c r="P98" s="20" t="n"/>
      <c r="Q98" s="20" t="n"/>
      <c r="R98" s="20" t="n"/>
      <c r="S98" s="20" t="n"/>
    </row>
    <row r="99" ht="15" customHeight="1" s="13">
      <c r="A99" s="17">
        <f>RANK(H99,$H$2:$H$101,0)</f>
        <v/>
      </c>
      <c r="B99" s="17">
        <f>ROUND(H99/MAX($H$2:$H$101)*100,0)</f>
        <v/>
      </c>
      <c r="C99" s="17" t="inlineStr">
        <is>
          <t>仕事</t>
        </is>
      </c>
      <c r="D99" s="18" t="inlineStr">
        <is>
          <t>周りのスピードについていけない</t>
        </is>
      </c>
      <c r="E99" s="19" t="n">
        <v>1</v>
      </c>
      <c r="F99" s="19" t="n">
        <v>3</v>
      </c>
      <c r="G99" s="19" t="n">
        <v>3</v>
      </c>
      <c r="H99" s="17">
        <f>E99*4+F99*3+G99*2</f>
        <v/>
      </c>
      <c r="I99" s="16" t="inlineStr">
        <is>
          <t>D 個別対話</t>
        </is>
      </c>
      <c r="J99" s="18" t="inlineStr">
        <is>
          <t>「スピード」の違い</t>
        </is>
      </c>
      <c r="K99" s="16" t="inlineStr">
        <is>
          <t>D</t>
        </is>
      </c>
      <c r="L99" s="20" t="n"/>
      <c r="M99" s="20" t="n"/>
      <c r="N99" s="20" t="n"/>
      <c r="O99" s="20" t="n"/>
      <c r="P99" s="20" t="n"/>
      <c r="Q99" s="20" t="n"/>
      <c r="R99" s="20" t="n"/>
      <c r="S99" s="20" t="n"/>
    </row>
    <row r="100" ht="15" customHeight="1" s="13">
      <c r="A100" s="17">
        <f>RANK(H100,$H$2:$H$101,0)</f>
        <v/>
      </c>
      <c r="B100" s="17">
        <f>ROUND(H100/MAX($H$2:$H$101)*100,0)</f>
        <v/>
      </c>
      <c r="C100" s="17" t="inlineStr">
        <is>
          <t>仕事</t>
        </is>
      </c>
      <c r="D100" s="18" t="inlineStr">
        <is>
          <t>集中するまでに時間がかかる</t>
        </is>
      </c>
      <c r="E100" s="19" t="n">
        <v>1</v>
      </c>
      <c r="F100" s="19" t="n">
        <v>3</v>
      </c>
      <c r="G100" s="19" t="n">
        <v>3</v>
      </c>
      <c r="H100" s="17">
        <f>E100*4+F100*3+G100*2</f>
        <v/>
      </c>
      <c r="I100" s="16" t="inlineStr">
        <is>
          <t>21日間</t>
        </is>
      </c>
      <c r="J100" s="18" t="inlineStr">
        <is>
          <t>「集中」までの時間</t>
        </is>
      </c>
      <c r="K100" s="16" t="inlineStr">
        <is>
          <t>B</t>
        </is>
      </c>
      <c r="L100" s="20" t="n"/>
      <c r="M100" s="20" t="n"/>
      <c r="N100" s="20" t="n"/>
      <c r="O100" s="20" t="n"/>
      <c r="P100" s="20" t="n"/>
      <c r="Q100" s="20" t="n"/>
      <c r="R100" s="20" t="n"/>
      <c r="S100" s="20" t="n"/>
    </row>
    <row r="101" ht="15" customHeight="1" s="13">
      <c r="A101" s="17">
        <f>RANK(H101,$H$2:$H$101,0)</f>
        <v/>
      </c>
      <c r="B101" s="17">
        <f>ROUND(H101/MAX($H$2:$H$101)*100,0)</f>
        <v/>
      </c>
      <c r="C101" s="17" t="inlineStr">
        <is>
          <t>仕事</t>
        </is>
      </c>
      <c r="D101" s="18" t="inlineStr">
        <is>
          <t>新しい挑戦やリスクを避けてしまう</t>
        </is>
      </c>
      <c r="E101" s="19" t="n">
        <v>1</v>
      </c>
      <c r="F101" s="19" t="n">
        <v>3</v>
      </c>
      <c r="G101" s="19" t="n">
        <v>3</v>
      </c>
      <c r="H101" s="17">
        <f>E101*4+F101*3+G101*2</f>
        <v/>
      </c>
      <c r="I101" s="16" t="inlineStr">
        <is>
          <t>E 半年伴走</t>
        </is>
      </c>
      <c r="J101" s="18" t="inlineStr">
        <is>
          <t>「挑戦」の怖さ</t>
        </is>
      </c>
      <c r="K101" s="16" t="inlineStr">
        <is>
          <t>E</t>
        </is>
      </c>
      <c r="L101" s="20" t="n"/>
      <c r="M101" s="20" t="n"/>
      <c r="N101" s="20" t="n"/>
      <c r="O101" s="20" t="n"/>
      <c r="P101" s="20" t="n"/>
      <c r="Q101" s="20" t="n"/>
      <c r="R101" s="20" t="n"/>
      <c r="S101" s="20" t="n"/>
    </row>
  </sheetData>
  <autoFilter ref="A1:K1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8" customWidth="1" style="12" min="2" max="2"/>
    <col width="16" customWidth="1" style="12" min="3" max="3"/>
    <col width="18" customWidth="1" style="12" min="4" max="4"/>
  </cols>
  <sheetData>
    <row r="1" ht="15" customHeight="1" s="13">
      <c r="A1" s="22" t="inlineStr">
        <is>
          <t>カテゴリ</t>
        </is>
      </c>
      <c r="B1" s="22" t="inlineStr">
        <is>
          <t>件数</t>
        </is>
      </c>
      <c r="C1" s="22" t="inlineStr">
        <is>
          <t>平均バズ指数</t>
        </is>
      </c>
      <c r="D1" s="22" t="inlineStr">
        <is>
          <t>上位20に入った数</t>
        </is>
      </c>
    </row>
    <row r="2" ht="15" customHeight="1" s="13">
      <c r="A2" s="23" t="inlineStr">
        <is>
          <t>感覚・刺激</t>
        </is>
      </c>
      <c r="B2" s="23">
        <f>COUNTIF('悩み100(バズ順)'!$C$2:$C$101,A2)</f>
        <v/>
      </c>
      <c r="C2" s="23">
        <f>ROUND(AVERAGEIF('悩み100(バズ順)'!$C$2:$C$101,A2,'悩み100(バズ順)'!$B$2:$B$101),1)</f>
        <v/>
      </c>
      <c r="D2" s="23">
        <f>COUNTIFS('悩み100(バズ順)'!$C$2:$C$101,A2,'悩み100(バズ順)'!$A$2:$A$101,"&lt;=20")</f>
        <v/>
      </c>
    </row>
    <row r="3" ht="15" customHeight="1" s="13">
      <c r="A3" s="23" t="inlineStr">
        <is>
          <t>人間関係・気疲れ</t>
        </is>
      </c>
      <c r="B3" s="23">
        <f>COUNTIF('悩み100(バズ順)'!$C$2:$C$101,A3)</f>
        <v/>
      </c>
      <c r="C3" s="23">
        <f>ROUND(AVERAGEIF('悩み100(バズ順)'!$C$2:$C$101,A3,'悩み100(バズ順)'!$B$2:$B$101),1)</f>
        <v/>
      </c>
      <c r="D3" s="23">
        <f>COUNTIFS('悩み100(バズ順)'!$C$2:$C$101,A3,'悩み100(バズ順)'!$A$2:$A$101,"&lt;=20")</f>
        <v/>
      </c>
    </row>
    <row r="4" ht="15" customHeight="1" s="13">
      <c r="A4" s="23" t="inlineStr">
        <is>
          <t>断れない・後回し</t>
        </is>
      </c>
      <c r="B4" s="23">
        <f>COUNTIF('悩み100(バズ順)'!$C$2:$C$101,A4)</f>
        <v/>
      </c>
      <c r="C4" s="23">
        <f>ROUND(AVERAGEIF('悩み100(バズ順)'!$C$2:$C$101,A4,'悩み100(バズ順)'!$B$2:$B$101),1)</f>
        <v/>
      </c>
      <c r="D4" s="23">
        <f>COUNTIFS('悩み100(バズ順)'!$C$2:$C$101,A4,'悩み100(バズ順)'!$A$2:$A$101,"&lt;=20")</f>
        <v/>
      </c>
    </row>
    <row r="5" ht="15" customHeight="1" s="13">
      <c r="A5" s="23" t="inlineStr">
        <is>
          <t>自責・自己否定</t>
        </is>
      </c>
      <c r="B5" s="23">
        <f>COUNTIF('悩み100(バズ順)'!$C$2:$C$101,A5)</f>
        <v/>
      </c>
      <c r="C5" s="23">
        <f>ROUND(AVERAGEIF('悩み100(バズ順)'!$C$2:$C$101,A5,'悩み100(バズ順)'!$B$2:$B$101),1)</f>
        <v/>
      </c>
      <c r="D5" s="23">
        <f>COUNTIFS('悩み100(バズ順)'!$C$2:$C$101,A5,'悩み100(バズ順)'!$A$2:$A$101,"&lt;=20")</f>
        <v/>
      </c>
    </row>
    <row r="6" ht="15" customHeight="1" s="13">
      <c r="A6" s="23" t="inlineStr">
        <is>
          <t>考えすぎ・反省会</t>
        </is>
      </c>
      <c r="B6" s="23">
        <f>COUNTIF('悩み100(バズ順)'!$C$2:$C$101,A6)</f>
        <v/>
      </c>
      <c r="C6" s="23">
        <f>ROUND(AVERAGEIF('悩み100(バズ順)'!$C$2:$C$101,A6,'悩み100(バズ順)'!$B$2:$B$101),1)</f>
        <v/>
      </c>
      <c r="D6" s="23">
        <f>COUNTIFS('悩み100(バズ順)'!$C$2:$C$101,A6,'悩み100(バズ順)'!$A$2:$A$101,"&lt;=20")</f>
        <v/>
      </c>
    </row>
    <row r="7" ht="15" customHeight="1" s="13">
      <c r="A7" s="23" t="inlineStr">
        <is>
          <t>仕事</t>
        </is>
      </c>
      <c r="B7" s="23">
        <f>COUNTIF('悩み100(バズ順)'!$C$2:$C$101,A7)</f>
        <v/>
      </c>
      <c r="C7" s="23">
        <f>ROUND(AVERAGEIF('悩み100(バズ順)'!$C$2:$C$101,A7,'悩み100(バズ順)'!$B$2:$B$101),1)</f>
        <v/>
      </c>
      <c r="D7" s="23">
        <f>COUNTIFS('悩み100(バズ順)'!$C$2:$C$101,A7,'悩み100(バズ順)'!$A$2:$A$101,"&lt;=20")</f>
        <v/>
      </c>
    </row>
    <row r="8" ht="15" customHeight="1" s="13">
      <c r="A8" s="23" t="inlineStr">
        <is>
          <t>回復・休日・体調</t>
        </is>
      </c>
      <c r="B8" s="23">
        <f>COUNTIF('悩み100(バズ順)'!$C$2:$C$101,A8)</f>
        <v/>
      </c>
      <c r="C8" s="23">
        <f>ROUND(AVERAGEIF('悩み100(バズ順)'!$C$2:$C$101,A8,'悩み100(バズ順)'!$B$2:$B$101),1)</f>
        <v/>
      </c>
      <c r="D8" s="23">
        <f>COUNTIFS('悩み100(バズ順)'!$C$2:$C$101,A8,'悩み100(バズ順)'!$A$2:$A$101,"&lt;=20")</f>
        <v/>
      </c>
    </row>
    <row r="9" ht="15" customHeight="1" s="13">
      <c r="A9" s="23" t="inlineStr">
        <is>
          <t>感情・SNS・恋愛</t>
        </is>
      </c>
      <c r="B9" s="23">
        <f>COUNTIF('悩み100(バズ順)'!$C$2:$C$101,A9)</f>
        <v/>
      </c>
      <c r="C9" s="23">
        <f>ROUND(AVERAGEIF('悩み100(バズ順)'!$C$2:$C$101,A9,'悩み100(バズ順)'!$B$2:$B$101),1)</f>
        <v/>
      </c>
      <c r="D9" s="23">
        <f>COUNTIFS('悩み100(バズ順)'!$C$2:$C$101,A9,'悩み100(バズ順)'!$A$2:$A$101,"&lt;=20")</f>
        <v/>
      </c>
    </row>
    <row r="10" ht="15" customHeight="1" s="13">
      <c r="A10" s="23" t="inlineStr">
        <is>
          <t>合計</t>
        </is>
      </c>
      <c r="B10" s="23">
        <f>SUM(B2:B9)</f>
        <v/>
      </c>
      <c r="C10" s="23" t="n"/>
      <c r="D10" s="23">
        <f>SUM(D2:D9)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2" min="1" max="1"/>
    <col width="110" customWidth="1" style="12" min="2" max="2"/>
  </cols>
  <sheetData>
    <row r="1" ht="17.15" customHeight="1" s="13">
      <c r="A1" s="24" t="inlineStr">
        <is>
          <t>このリストについて</t>
        </is>
      </c>
      <c r="B1" s="25" t="n"/>
    </row>
    <row r="2" ht="15" customHeight="1" s="13">
      <c r="A2" s="26" t="inlineStr">
        <is>
          <t>目的</t>
        </is>
      </c>
      <c r="B2" s="26" t="inlineStr">
        <is>
          <t>「優しい世界」のX投稿と商品づくりのために、繊細な方(HSP)の悩みを100個に整理し、反応を取りやすそうな順に並べたものです。</t>
        </is>
      </c>
    </row>
    <row r="3" ht="29.85" customHeight="1" s="13">
      <c r="A3" s="26" t="inlineStr">
        <is>
          <t>重要な注意</t>
        </is>
      </c>
      <c r="B3" s="25" t="inlineStr">
        <is>
          <t>X上の実際のインプレッションや保存数は取得していません。『バズ指数』は、公開記事での出現頻度と、私の主観評価から出した目安です。投稿して、実測で確かめてください。</t>
        </is>
      </c>
    </row>
    <row r="4" ht="15" customHeight="1" s="13">
      <c r="A4" s="25" t="n"/>
      <c r="B4" s="25" t="n"/>
    </row>
    <row r="5" ht="17.15" customHeight="1" s="13">
      <c r="A5" s="24" t="inlineStr">
        <is>
          <t>バズ指数の作り方</t>
        </is>
      </c>
      <c r="B5" s="25" t="n"/>
    </row>
    <row r="6" ht="15" customHeight="1" s="13">
      <c r="A6" s="26" t="inlineStr">
        <is>
          <t>総合点</t>
        </is>
      </c>
      <c r="B6" s="26" t="inlineStr">
        <is>
          <t>出典数×4 + 共感×3 + 投稿化×2</t>
        </is>
      </c>
    </row>
    <row r="7" ht="29.85" customHeight="1" s="13">
      <c r="A7" s="26" t="inlineStr">
        <is>
          <t>出典数</t>
        </is>
      </c>
      <c r="B7" s="26" t="inlineStr">
        <is>
          <t>下記9つの記事・ページのうち、その悩みが出てくる数(出典コードの文字数)。多いほど『多くの人が書いている悩み』と見なしています。</t>
        </is>
      </c>
    </row>
    <row r="8" ht="15" customHeight="1" s="13">
      <c r="A8" s="26" t="inlineStr">
        <is>
          <t>共感(1-5)</t>
        </is>
      </c>
      <c r="B8" s="26" t="inlineStr">
        <is>
          <t>読んだ人が『わかる』と思いやすいか。私の主観評価です(青字=入力値。自由に直してください)。</t>
        </is>
      </c>
    </row>
    <row r="9" ht="15" customHeight="1" s="13">
      <c r="A9" s="26" t="inlineStr">
        <is>
          <t>投稿化(1-5)</t>
        </is>
      </c>
      <c r="B9" s="25" t="inlineStr">
        <is>
          <t>1つの場面として短く書きやすいか。私の主観評価です。</t>
        </is>
      </c>
    </row>
    <row r="10" ht="15" customHeight="1" s="13">
      <c r="A10" s="26" t="inlineStr">
        <is>
          <t>バズ指数</t>
        </is>
      </c>
      <c r="B10" s="26" t="inlineStr">
        <is>
          <t>総合点の最大値を100とした相対値です。</t>
        </is>
      </c>
    </row>
    <row r="11" ht="15" customHeight="1" s="13">
      <c r="A11" s="26" t="inlineStr">
        <is>
          <t>実体験由来</t>
        </is>
      </c>
      <c r="B11" s="26" t="inlineStr">
        <is>
          <t>「疲れていると、いつもの音が刺さるように大きく聞こえる」（実体験由来）は、公開記事の出典がないため出典数が0になり、62位に入っています。本人の実体験で、1位の「話し声・物音」とも重なるので、順位にかかわらず優先して投稿してください。</t>
        </is>
      </c>
    </row>
    <row r="12" ht="15" customHeight="1" s="13">
      <c r="A12" s="25" t="n"/>
      <c r="B12" s="25" t="n"/>
    </row>
    <row r="13" ht="32.8" customHeight="1" s="13">
      <c r="A13" s="24" t="inlineStr">
        <is>
          <t>出典(2026/10/20時点で閲覧)</t>
        </is>
      </c>
      <c r="B13" s="25" t="n"/>
    </row>
    <row r="14" ht="15" customHeight="1" s="13">
      <c r="A14" s="25" t="inlineStr">
        <is>
          <t>A</t>
        </is>
      </c>
      <c r="B14" s="25" t="inlineStr">
        <is>
          <t>DIME https://dime.jp/genre/1530943/</t>
        </is>
      </c>
    </row>
    <row r="15" ht="15" customHeight="1" s="13">
      <c r="A15" s="25" t="inlineStr">
        <is>
          <t>B</t>
        </is>
      </c>
      <c r="B15" s="25" t="inlineStr">
        <is>
          <t>KADOKAWA『繊細な人をラクにする「悩み時間」の減らし方』紹介ページ https://www.kadokawa.co.jp/product/322403000049/</t>
        </is>
      </c>
    </row>
    <row r="16" ht="15" customHeight="1" s="13">
      <c r="A16" s="25" t="inlineStr">
        <is>
          <t>C</t>
        </is>
      </c>
      <c r="B16" s="25" t="inlineStr">
        <is>
          <t>kinarino https://kinarino.jp/cat6/45720</t>
        </is>
      </c>
    </row>
    <row r="17" ht="15" customHeight="1" s="13">
      <c r="A17" s="25" t="inlineStr">
        <is>
          <t>D</t>
        </is>
      </c>
      <c r="B17" s="25" t="inlineStr">
        <is>
          <t>HSPな僕たち『HSPが共感するあるある50選』 https://we-hsp.com/hsp-common-things/</t>
        </is>
      </c>
    </row>
    <row r="18" ht="15" customHeight="1" s="13">
      <c r="A18" s="25" t="inlineStr">
        <is>
          <t>E</t>
        </is>
      </c>
      <c r="B18" s="25" t="inlineStr">
        <is>
          <t>STUDY HACKER『HSPあるある12選』 https://studyhacker.net/hsp-frequently-happening</t>
        </is>
      </c>
    </row>
    <row r="19" ht="15" customHeight="1" s="13">
      <c r="A19" s="25" t="inlineStr">
        <is>
          <t>F</t>
        </is>
      </c>
      <c r="B19" s="26" t="inlineStr">
        <is>
          <t>ひだまりこころクリニック金山院 https://hidamarikokoro.jp/kanayama/blog/</t>
        </is>
      </c>
    </row>
    <row r="20" ht="15" customHeight="1" s="13">
      <c r="A20" s="25" t="inlineStr">
        <is>
          <t>G</t>
        </is>
      </c>
      <c r="B20" s="26" t="inlineStr">
        <is>
          <t>メンクリ(明日のクリニック) https://mencli.ashitano.clinic/2483</t>
        </is>
      </c>
    </row>
    <row r="21" ht="15" customHeight="1" s="13">
      <c r="A21" s="25" t="inlineStr">
        <is>
          <t>H</t>
        </is>
      </c>
      <c r="B21" s="26" t="inlineStr">
        <is>
          <t>ココヨワ(Instagramアンケート628名) https://cocoyowa.com/hss/proportion/</t>
        </is>
      </c>
    </row>
    <row r="22" ht="15" customHeight="1" s="13">
      <c r="A22" s="25" t="inlineStr">
        <is>
          <t>I</t>
        </is>
      </c>
      <c r="B22" s="26" t="inlineStr">
        <is>
          <t>現代ビジネス https://gendai.media/articles/-/83759</t>
        </is>
      </c>
    </row>
    <row r="23" ht="15" customHeight="1" s="13">
      <c r="A23" s="25" t="n"/>
      <c r="B23" s="25" t="n"/>
    </row>
    <row r="24" ht="15" customHeight="1" s="13">
      <c r="A24" s="26" t="inlineStr">
        <is>
          <t>使い方</t>
        </is>
      </c>
      <c r="B24" s="25" t="n"/>
    </row>
    <row r="25" ht="17.15" customHeight="1" s="13">
      <c r="A25" s="24" t="inlineStr">
        <is>
          <t>投稿</t>
        </is>
      </c>
      <c r="B25" s="26" t="inlineStr">
        <is>
          <t>上位20件から『書き出し案』を体言止めの1行目にして、いつもの形(語りかけ+かもしれません止め)で書いてください。</t>
        </is>
      </c>
    </row>
    <row r="26" ht="29.85" customHeight="1" s="13">
      <c r="A26" s="26" t="inlineStr">
        <is>
          <t>商品</t>
        </is>
      </c>
      <c r="B26" s="26" t="inlineStr">
        <is>
          <t>『合う商品』の列は、A=境界線講座、B=夜の音声、C=対話の会、D=個別対話、E=半年伴走、21日間=フロント商品です。悩みリストの選択肢を決めるときの参考にしてください。</t>
        </is>
      </c>
    </row>
    <row r="27" ht="15" customHeight="1" s="13">
      <c r="A27" s="26" t="inlineStr">
        <is>
          <t>表現</t>
        </is>
      </c>
      <c r="B27" s="26" t="inlineStr">
        <is>
          <t>診断名のHSPではなく『繊細な方』と書き、『〜かもしれません』で止めてください。つらさが強い方には専門窓口の案内を。</t>
        </is>
      </c>
    </row>
    <row r="29">
      <c r="A29" s="27" t="inlineStr">
        <is>
          <t>v2で足したこと（2026-10-23）</t>
        </is>
      </c>
    </row>
    <row r="30">
      <c r="A30" s="28" t="inlineStr">
        <is>
          <t>支払い意欲(1-5)</t>
        </is>
      </c>
      <c r="B30" s="29" t="inlineStr">
        <is>
          <t>その悩みの解決に、お金を払ってでも何とかしたいと思われやすいか。本人が入力する列。においや光のように、道具で解決しやすい悩みは低めになりやすい。</t>
        </is>
      </c>
    </row>
    <row r="31">
      <c r="A31" s="28" t="inlineStr">
        <is>
          <t>実体験(○)</t>
        </is>
      </c>
      <c r="B31" s="29" t="inlineStr">
        <is>
          <t>本人が実際に経験している悩みに○。○の悩みは、体験として語れるので、投稿と商品の両方で強い。</t>
        </is>
      </c>
    </row>
    <row r="32">
      <c r="A32" s="28" t="inlineStr">
        <is>
          <t>X投稿日〜LINE登録</t>
        </is>
      </c>
      <c r="B32" s="29" t="inlineStr">
        <is>
          <t>実際に投稿したら、1時間後の数字を書く。10/31のチェックポイント1から、主観の点数ではなく実測で並べ替える。</t>
        </is>
      </c>
    </row>
    <row r="33">
      <c r="A33" s="28" t="inlineStr">
        <is>
          <t>総合点の注意</t>
        </is>
      </c>
      <c r="B33" s="29" t="inlineStr">
        <is>
          <t>出典数×4の重みが大きく、順位はほぼ出典数（記事に書かれている数）で決まる。記事に多い悩みは、ほかの発信者も多く書いている悩みでもある。実測がたまったら、総合点より実測と支払い意欲を優先する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2026-10-20T06:29:00Z</dcterms:created>
  <dcterms:modified xmlns:dcterms="http://purl.org/dc/terms/" xmlns:xsi="http://www.w3.org/2001/XMLSchema-instance" xsi:type="dcterms:W3CDTF">2026-10-23T11:51:30Z</dcterms:modified>
  <cp:revision>0</cp:revision>
</cp:coreProperties>
</file>